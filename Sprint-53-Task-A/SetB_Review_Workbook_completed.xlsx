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tart here" sheetId="1" state="visible" r:id="rId3"/>
    <sheet name="Review" sheetId="2" state="visible" r:id="rId4"/>
    <sheet name="Summary" sheetId="3" state="visible" r:id="rId5"/>
  </sheets>
  <definedNames>
    <definedName function="false" hidden="true" localSheetId="1" name="_xlnm._FilterDatabase" vbProcedure="false">Review!$A$1:$S$266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<sst xmlns="http://schemas.openxmlformats.org/spreadsheetml/2006/main" count="3703" uniqueCount="890">
  <si>
    <t xml:space="preserve">Sprint 53 - Set B translation review (English → Mandarin)</t>
  </si>
  <si>
    <t xml:space="preserve">What you are doing</t>
  </si>
  <si>
    <t xml:space="preserve">Checking translations we wrote to test automatic (LLM) translation judges. For each row, tell us if the row is what it claims to be, and what quality band you would give it. Read SetB_Reviewer_Instructions.docx first (about 10 minutes).</t>
  </si>
  <si>
    <t xml:space="preserve">Rows to review</t>
  </si>
  <si>
    <t xml:space="preserve">265 rows on the 'Review' tab, grouped by English sentence (40 sentences). Expect about 1 minute per row; it is fine to work in several sittings.</t>
  </si>
  <si>
    <t xml:space="preserve">Where to type</t>
  </si>
  <si>
    <t xml:space="preserve">ONLY in the yellow columns M-R. Grey and white columns are pre-filled - please do not edit them. Column S fills itself in.</t>
  </si>
  <si>
    <t xml:space="preserve">Q1 Row matches its description?</t>
  </si>
  <si>
    <t xml:space="preserve">Yes / No / Partly / Not sure. Column I says what the row is supposed to be.</t>
  </si>
  <si>
    <t xml:space="preserve">Q2 Your quality band</t>
  </si>
  <si>
    <t xml:space="preserve">clean / moderate / poor - your own judgement of the candidate (definitions below).</t>
  </si>
  <si>
    <t xml:space="preserve">Q3 Planted error severity</t>
  </si>
  <si>
    <t xml:space="preserve">Only for rows with a planted error (columns J-K): minor / major / critical, or 'not an error' if you think it is actually acceptable. 'n/a' is pre-filled where there is no planted error.</t>
  </si>
  <si>
    <t xml:space="preserve">Q4 Other errors</t>
  </si>
  <si>
    <t xml:space="preserve">Any error we did not plant or describe. Quote the Chinese text and say why.</t>
  </si>
  <si>
    <t xml:space="preserve">Q5 Suggested correction</t>
  </si>
  <si>
    <t xml:space="preserve">Only if the row is wrong for its purpose. Write the FULL corrected sentence. For gold rows this becomes the new reference.</t>
  </si>
  <si>
    <t xml:space="preserve">Band: clean</t>
  </si>
  <si>
    <t xml:space="preserve">Correct meaning, natural Chinese. You would publish it with at most tiny edits.</t>
  </si>
  <si>
    <t xml:space="preserve">Band: moderate</t>
  </si>
  <si>
    <t xml:space="preserve">Meaning is essentially right, but it is stiff, unnatural, slightly off in tone, or has small errors a reader would notice.</t>
  </si>
  <si>
    <t xml:space="preserve">Band: poor</t>
  </si>
  <si>
    <t xml:space="preserve">At least one meaning error that would mislead a reader, or the sentence does not make sense.</t>
  </si>
  <si>
    <t xml:space="preserve">Traditional-script rows</t>
  </si>
  <si>
    <t xml:space="preserve">You are not expected to be a Traditional-script expert. Check the meaning; answer 'Not sure' in Q1 about Taiwan word choice if unfamiliar.</t>
  </si>
  <si>
    <t xml:space="preserve">When finished</t>
  </si>
  <si>
    <t xml:space="preserve">Save the file with your initials in the name (e.g. SetB_Review_Workbook_LW.xlsx) and send it back. The 'Summary' tab shows your progress.</t>
  </si>
  <si>
    <t xml:space="preserve">Example of a completed row</t>
  </si>
  <si>
    <t xml:space="preserve">Row type</t>
  </si>
  <si>
    <t xml:space="preserve">fluent_wrong</t>
  </si>
  <si>
    <t xml:space="preserve">English source</t>
  </si>
  <si>
    <t xml:space="preserve">The museum opens at nine every morning.</t>
  </si>
  <si>
    <t xml:space="preserve">Candidate translation</t>
  </si>
  <si>
    <t xml:space="preserve">博物馆每天晚上九点开门。</t>
  </si>
  <si>
    <t xml:space="preserve">Planted error</t>
  </si>
  <si>
    <t xml:space="preserve">晚上 - [Mistranslation, major] 'Morning' becomes 'evening'.</t>
  </si>
  <si>
    <t xml:space="preserve">Q1. Row matches its description?</t>
  </si>
  <si>
    <t xml:space="preserve">Yes</t>
  </si>
  <si>
    <t xml:space="preserve">Q2. Your quality band</t>
  </si>
  <si>
    <t xml:space="preserve">poor</t>
  </si>
  <si>
    <t xml:space="preserve">Q3. Planted error severity</t>
  </si>
  <si>
    <t xml:space="preserve">major</t>
  </si>
  <si>
    <t xml:space="preserve">Q4. Other errors you found</t>
  </si>
  <si>
    <t xml:space="preserve">(blank - none)</t>
  </si>
  <si>
    <t xml:space="preserve">Q5. Suggested correction</t>
  </si>
  <si>
    <t xml:space="preserve">(blank - the error is intentional, do not correct it)</t>
  </si>
  <si>
    <t xml:space="preserve">Comments</t>
  </si>
  <si>
    <t xml:space="preserve">Reads naturally, so a careless reader would be misled.</t>
  </si>
  <si>
    <t xml:space="preserve">item_id</t>
  </si>
  <si>
    <t xml:space="preserve">Source ID</t>
  </si>
  <si>
    <t xml:space="preserve">Category</t>
  </si>
  <si>
    <t xml:space="preserve">Script</t>
  </si>
  <si>
    <t xml:space="preserve">Candidate translation (CHECK THIS)</t>
  </si>
  <si>
    <t xml:space="preserve">Gold reference (for comparison)</t>
  </si>
  <si>
    <t xml:space="preserve">What this row is supposed to be</t>
  </si>
  <si>
    <t xml:space="preserve">Planted error - text</t>
  </si>
  <si>
    <t xml:space="preserve">Planted error - what is wrong</t>
  </si>
  <si>
    <t xml:space="preserve">Our expected band</t>
  </si>
  <si>
    <t xml:space="preserve">Q5. Suggested correction (full sentence)</t>
  </si>
  <si>
    <t xml:space="preserve">Band agrees? (auto)</t>
  </si>
  <si>
    <t xml:space="preserve">B::S52_001::gold</t>
  </si>
  <si>
    <t xml:space="preserve">S52_001</t>
  </si>
  <si>
    <t xml:space="preserve">simple_control</t>
  </si>
  <si>
    <t xml:space="preserve">gold</t>
  </si>
  <si>
    <t xml:space="preserve">simplified</t>
  </si>
  <si>
    <t xml:space="preserve">Let's try it.</t>
  </si>
  <si>
    <t xml:space="preserve">我们试试吧。</t>
  </si>
  <si>
    <t xml:space="preserve">PROPOSED REFERENCE. Should be a fully correct, natural Mainland Mandarin translation. If anything is wrong or unnatural, write a corrected sentence in column Q - it will become the reference for every row of this source.</t>
  </si>
  <si>
    <t xml:space="preserve">clean</t>
  </si>
  <si>
    <t xml:space="preserve">n/a</t>
  </si>
  <si>
    <t xml:space="preserve">B::S52_001::paraphrase</t>
  </si>
  <si>
    <t xml:space="preserve">paraphrase</t>
  </si>
  <si>
    <t xml:space="preserve">咱们来试一下。</t>
  </si>
  <si>
    <t xml:space="preserve">Should mean EXACTLY the same as the gold row, using deliberately different wording. Check nothing is added, lost or changed, and that it sounds natural.</t>
  </si>
  <si>
    <t xml:space="preserve">B::S52_001::literal</t>
  </si>
  <si>
    <t xml:space="preserve">literal</t>
  </si>
  <si>
    <t xml:space="preserve">让我们尝试它。</t>
  </si>
  <si>
    <t xml:space="preserve">Should have NO meaning errors, but be stiff / word-for-word on purpose. Stiffness is intended - only flag meaning problems or ungrammatical Chinese.</t>
  </si>
  <si>
    <t xml:space="preserve">moderate</t>
  </si>
  <si>
    <t xml:space="preserve">B::S52_001::fluent_wrong</t>
  </si>
  <si>
    <t xml:space="preserve">我们别试了吧。</t>
  </si>
  <si>
    <t xml:space="preserve">Should read naturally but contain exactly ONE planted meaning error (columns J-K). Check the error is real and that there is no OTHER error.</t>
  </si>
  <si>
    <t xml:space="preserve">别试了</t>
  </si>
  <si>
    <t xml:space="preserve">[Mistranslation, major] Suggestion to try becomes suggestion NOT to try (polarity reversed).</t>
  </si>
  <si>
    <t xml:space="preserve">B::S52_001::targeted_error</t>
  </si>
  <si>
    <t xml:space="preserve">targeted_error</t>
  </si>
  <si>
    <t xml:space="preserve">我们已经试过了。</t>
  </si>
  <si>
    <t xml:space="preserve">Contains exactly ONE planted error typical of this category (columns J-K). Check the error is real and that there is no OTHER error.</t>
  </si>
  <si>
    <t xml:space="preserve">已经试过了</t>
  </si>
  <si>
    <t xml:space="preserve">[Mistranslation, major] Proposal ('let's try') becomes a statement about the past ('we already tried').</t>
  </si>
  <si>
    <t xml:space="preserve">B::S52_001::original_candidate</t>
  </si>
  <si>
    <t xml:space="preserve">original_candidate</t>
  </si>
  <si>
    <t xml:space="preserve">我们试一下吧。</t>
  </si>
  <si>
    <t xml:space="preserve">Existing Sprint 52 machine translation, not written for this sprint. We only need your quality band and any errors you see.</t>
  </si>
  <si>
    <t xml:space="preserve">B::S52_002::gold</t>
  </si>
  <si>
    <t xml:space="preserve">S52_002</t>
  </si>
  <si>
    <t xml:space="preserve">I have to go to sleep.</t>
  </si>
  <si>
    <t xml:space="preserve">我得去睡觉了。</t>
  </si>
  <si>
    <t xml:space="preserve">B::S52_002::paraphrase</t>
  </si>
  <si>
    <t xml:space="preserve">我必须上床休息了。</t>
  </si>
  <si>
    <t xml:space="preserve">B::S52_002::literal</t>
  </si>
  <si>
    <t xml:space="preserve">我有去睡觉的必要。</t>
  </si>
  <si>
    <t xml:space="preserve">B::S52_002::fluent_wrong</t>
  </si>
  <si>
    <t xml:space="preserve">我不想去睡觉。</t>
  </si>
  <si>
    <t xml:space="preserve">不想</t>
  </si>
  <si>
    <t xml:space="preserve">[Mistranslation, major] 'Have to' becomes 'don't want to'.</t>
  </si>
  <si>
    <t xml:space="preserve">B::S52_002::targeted_error</t>
  </si>
  <si>
    <t xml:space="preserve">我得去上班了。</t>
  </si>
  <si>
    <t xml:space="preserve">上班</t>
  </si>
  <si>
    <t xml:space="preserve">[Mistranslation, major] 'Sleep' becomes 'go to work'.</t>
  </si>
  <si>
    <t xml:space="preserve">B::S52_002::original_candidate</t>
  </si>
  <si>
    <t xml:space="preserve">B::S52_005::gold</t>
  </si>
  <si>
    <t xml:space="preserve">S52_005</t>
  </si>
  <si>
    <t xml:space="preserve">I will be back soon.</t>
  </si>
  <si>
    <t xml:space="preserve">我很快就回来。</t>
  </si>
  <si>
    <t xml:space="preserve">B::S52_005::paraphrase</t>
  </si>
  <si>
    <t xml:space="preserve">我去去就来。</t>
  </si>
  <si>
    <t xml:space="preserve">B::S52_005::literal</t>
  </si>
  <si>
    <t xml:space="preserve">我将会很快地回来。</t>
  </si>
  <si>
    <t xml:space="preserve">B::S52_005::fluent_wrong</t>
  </si>
  <si>
    <t xml:space="preserve">我很快就走。</t>
  </si>
  <si>
    <t xml:space="preserve">走</t>
  </si>
  <si>
    <t xml:space="preserve">[Mistranslation, major] 'Be back' becomes 'leave'.</t>
  </si>
  <si>
    <t xml:space="preserve">B::S52_005::targeted_error</t>
  </si>
  <si>
    <t xml:space="preserve">我明天就回来。</t>
  </si>
  <si>
    <t xml:space="preserve">明天</t>
  </si>
  <si>
    <t xml:space="preserve">[Mistranslation, major] 'Soon' becomes 'tomorrow'.</t>
  </si>
  <si>
    <t xml:space="preserve">B::S52_005::original_candidate</t>
  </si>
  <si>
    <t xml:space="preserve">我很快就会回来。</t>
  </si>
  <si>
    <t xml:space="preserve">B::S52_008::gold</t>
  </si>
  <si>
    <t xml:space="preserve">S52_008</t>
  </si>
  <si>
    <t xml:space="preserve">Our flight was delayed because of the storm.</t>
  </si>
  <si>
    <t xml:space="preserve">因为暴风雨，我们的航班延误了。</t>
  </si>
  <si>
    <t xml:space="preserve">B::S52_008::paraphrase</t>
  </si>
  <si>
    <t xml:space="preserve">受风暴影响，我们的班机晚点了。</t>
  </si>
  <si>
    <t xml:space="preserve">B::S52_008::literal</t>
  </si>
  <si>
    <t xml:space="preserve">我们的航班被延误了因为暴风雨。</t>
  </si>
  <si>
    <t xml:space="preserve">B::S52_008::padded</t>
  </si>
  <si>
    <t xml:space="preserve">padded</t>
  </si>
  <si>
    <t xml:space="preserve">由于遇上了暴风雨天气的原因，我们所乘坐的这趟航班最终出现了延误的情况。</t>
  </si>
  <si>
    <t xml:space="preserve">Same meaning as gold, deliberately wordy/redundant. Check no meaning was added or lost.</t>
  </si>
  <si>
    <t xml:space="preserve">B::S52_008::fluent_wrong</t>
  </si>
  <si>
    <t xml:space="preserve">因为暴风雨，我们的航班取消了。</t>
  </si>
  <si>
    <t xml:space="preserve">取消</t>
  </si>
  <si>
    <t xml:space="preserve">[Mistranslation, major] 'Delayed' becomes 'cancelled'.</t>
  </si>
  <si>
    <t xml:space="preserve">B::S52_008::targeted_error</t>
  </si>
  <si>
    <t xml:space="preserve">因为暴风雪，我们的航班延误了。</t>
  </si>
  <si>
    <t xml:space="preserve">暴风雪</t>
  </si>
  <si>
    <t xml:space="preserve">[Mistranslation, major] 'Storm' becomes 'snowstorm/blizzard'.</t>
  </si>
  <si>
    <t xml:space="preserve">B::S52_008::original_candidate</t>
  </si>
  <si>
    <t xml:space="preserve">我们的航班因为暴风雨延误了。</t>
  </si>
  <si>
    <t xml:space="preserve">B::S52_006::gold</t>
  </si>
  <si>
    <t xml:space="preserve">S52_006</t>
  </si>
  <si>
    <t xml:space="preserve">numbers_units_dates</t>
  </si>
  <si>
    <t xml:space="preserve">博物馆每天早上九点开门。</t>
  </si>
  <si>
    <t xml:space="preserve">B::S52_006::paraphrase</t>
  </si>
  <si>
    <t xml:space="preserve">这家博物馆每日上午9时开放。</t>
  </si>
  <si>
    <t xml:space="preserve">B::S52_006::literal</t>
  </si>
  <si>
    <t xml:space="preserve">博物馆在每一个早晨的九点钟打开。</t>
  </si>
  <si>
    <t xml:space="preserve">B::S52_006::fluent_wrong</t>
  </si>
  <si>
    <t xml:space="preserve">晚上</t>
  </si>
  <si>
    <t xml:space="preserve">[Mistranslation, major] 'Morning' becomes 'evening'.</t>
  </si>
  <si>
    <t xml:space="preserve">B::S52_006::targeted_error</t>
  </si>
  <si>
    <t xml:space="preserve">博物馆每天早上十点开门。</t>
  </si>
  <si>
    <t xml:space="preserve">十点</t>
  </si>
  <si>
    <t xml:space="preserve">[Mistranslation, major] Nine o'clock becomes ten o'clock.</t>
  </si>
  <si>
    <t xml:space="preserve">B::S52_006::original_candidate</t>
  </si>
  <si>
    <t xml:space="preserve">B::S52_006::traditional_char</t>
  </si>
  <si>
    <t xml:space="preserve">traditional_char</t>
  </si>
  <si>
    <t xml:space="preserve">博物館每天早上九點開門。</t>
  </si>
  <si>
    <r>
      <rPr>
        <sz val="10"/>
        <rFont val="Arial"/>
        <family val="0"/>
        <charset val="1"/>
      </rPr>
      <t xml:space="preserve">Gold converted to Traditional CHARACTERS only - same words. Check the meaning is unchanged and characters look right (e.g. no wrong </t>
    </r>
    <r>
      <rPr>
        <sz val="10"/>
        <rFont val="Noto Sans CJK SC"/>
        <family val="2"/>
      </rPr>
      <t xml:space="preserve">裡</t>
    </r>
    <r>
      <rPr>
        <sz val="10"/>
        <rFont val="Arial"/>
        <family val="0"/>
        <charset val="1"/>
      </rPr>
      <t xml:space="preserve">/</t>
    </r>
    <r>
      <rPr>
        <sz val="10"/>
        <rFont val="Noto Sans CJK SC"/>
        <family val="2"/>
      </rPr>
      <t xml:space="preserve">里 </t>
    </r>
    <r>
      <rPr>
        <sz val="10"/>
        <rFont val="Arial"/>
        <family val="0"/>
        <charset val="1"/>
      </rPr>
      <t xml:space="preserve">swaps in names).</t>
    </r>
  </si>
  <si>
    <t xml:space="preserve">B::A_375::gold</t>
  </si>
  <si>
    <t xml:space="preserve">A_375</t>
  </si>
  <si>
    <t xml:space="preserve">A person who weighs 200 pounds (90kg) on Earth would weigh about 36 pounds (16kg) on Io. So the gravity, of course, pulls less on you.</t>
  </si>
  <si>
    <t xml:space="preserve">一个在地球上重200磅（90千克）的人，到了木卫一上体重只有约36磅（16千克）。因此，那里的引力对你的拉力自然更小。</t>
  </si>
  <si>
    <t xml:space="preserve">B::A_375::paraphrase</t>
  </si>
  <si>
    <t xml:space="preserve">在地球上体重90公斤（200磅）的人，若站在木卫一上，体重约为16公斤（36磅）——很显然，那里的重力对人的牵引要小得多。</t>
  </si>
  <si>
    <t xml:space="preserve">B::A_375::literal</t>
  </si>
  <si>
    <t xml:space="preserve">一个在地球上称重200磅（90千克）的人，在木卫一上将称重大约36磅（16千克）。所以重力，当然，在你身上拉得更少。</t>
  </si>
  <si>
    <t xml:space="preserve">B::A_375::fluent_wrong</t>
  </si>
  <si>
    <t xml:space="preserve">一个在地球上重200磅（90千克）的人，到了木卫一上体重只有约36磅（16千克）。因此，那里的引力对你的拉力自然更大。</t>
  </si>
  <si>
    <t xml:space="preserve">更大</t>
  </si>
  <si>
    <t xml:space="preserve">[Mistranslation, major] Gravity pulls 'less' becomes 'more'.</t>
  </si>
  <si>
    <t xml:space="preserve">B::A_375::targeted_error</t>
  </si>
  <si>
    <t xml:space="preserve">一个在地球上重200磅（90千克）的人，到了木卫一上体重只有约36千克（16磅）。因此，那里的引力对你的拉力自然更小。</t>
  </si>
  <si>
    <r>
      <rPr>
        <sz val="10"/>
        <rFont val="Arial"/>
        <family val="0"/>
        <charset val="1"/>
      </rPr>
      <t xml:space="preserve">36</t>
    </r>
    <r>
      <rPr>
        <sz val="10"/>
        <rFont val="Noto Sans CJK SC"/>
        <family val="2"/>
      </rPr>
      <t xml:space="preserve">千克（</t>
    </r>
    <r>
      <rPr>
        <sz val="10"/>
        <rFont val="Arial"/>
        <family val="0"/>
        <charset val="1"/>
      </rPr>
      <t xml:space="preserve">16</t>
    </r>
    <r>
      <rPr>
        <sz val="10"/>
        <rFont val="Noto Sans CJK SC"/>
        <family val="2"/>
      </rPr>
      <t xml:space="preserve">磅）</t>
    </r>
  </si>
  <si>
    <t xml:space="preserve">[Mistranslation, major] Units swapped: 36 pounds (16 kg) becomes 36 kg (16 pounds).</t>
  </si>
  <si>
    <t xml:space="preserve">B::A_375::traditional_char</t>
  </si>
  <si>
    <t xml:space="preserve">一個在地球上重200磅（90千克）的人，到了木衛一上體重只有約36磅（16千克）。因此，那裡的引力對你的拉力自然更小。</t>
  </si>
  <si>
    <t xml:space="preserve">B::A_375::traditional_tw</t>
  </si>
  <si>
    <t xml:space="preserve">traditional_tw</t>
  </si>
  <si>
    <t xml:space="preserve">一個在地球上重200磅（90公斤）的人，到了木衛一上體重只有約36磅（16公斤）。因此，那裡的引力對你的拉力自然更小。</t>
  </si>
  <si>
    <r>
      <rPr>
        <sz val="10"/>
        <rFont val="Arial"/>
        <family val="0"/>
        <charset val="1"/>
      </rPr>
      <t xml:space="preserve">Gold adapted for Taiwan: Traditional characters + Taiwan vocabulary (e.g. </t>
    </r>
    <r>
      <rPr>
        <sz val="10"/>
        <rFont val="Noto Sans CJK SC"/>
        <family val="2"/>
      </rPr>
      <t xml:space="preserve">伺服器</t>
    </r>
    <r>
      <rPr>
        <sz val="10"/>
        <rFont val="Arial"/>
        <family val="0"/>
        <charset val="1"/>
      </rPr>
      <t xml:space="preserve">, </t>
    </r>
    <r>
      <rPr>
        <sz val="10"/>
        <rFont val="Noto Sans CJK SC"/>
        <family val="2"/>
      </rPr>
      <t xml:space="preserve">公尺</t>
    </r>
    <r>
      <rPr>
        <sz val="10"/>
        <rFont val="Arial"/>
        <family val="0"/>
        <charset val="1"/>
      </rPr>
      <t xml:space="preserve">, </t>
    </r>
    <r>
      <rPr>
        <sz val="10"/>
        <rFont val="Noto Sans CJK SC"/>
        <family val="2"/>
      </rPr>
      <t xml:space="preserve">財務長</t>
    </r>
    <r>
      <rPr>
        <sz val="10"/>
        <rFont val="Arial"/>
        <family val="0"/>
        <charset val="1"/>
      </rPr>
      <t xml:space="preserve">) + </t>
    </r>
    <r>
      <rPr>
        <sz val="10"/>
        <rFont val="Noto Sans CJK SC"/>
        <family val="2"/>
      </rPr>
      <t xml:space="preserve">「」 </t>
    </r>
    <r>
      <rPr>
        <sz val="10"/>
        <rFont val="Arial"/>
        <family val="0"/>
        <charset val="1"/>
      </rPr>
      <t xml:space="preserve">quotes. Check the meaning is unchanged. If you are unsure whether a word is natural in Taiwan, answer 'Not sure' in Q1 rather than guessing.</t>
    </r>
  </si>
  <si>
    <t xml:space="preserve">B::A_43::gold</t>
  </si>
  <si>
    <t xml:space="preserve">A_43</t>
  </si>
  <si>
    <t xml:space="preserve">The storm, situated about 645 miles (1040 km) west of the Cape Verde islands, is likely to dissipate before threatening any land areas, forecasters say.</t>
  </si>
  <si>
    <t xml:space="preserve">预报员称，这场风暴位于佛得角群岛以西约645英里（1040公里）处，很可能在对任何陆地构成威胁之前就会消散。</t>
  </si>
  <si>
    <t xml:space="preserve">B::A_43::paraphrase</t>
  </si>
  <si>
    <t xml:space="preserve">据气象预报人员介绍，这个风暴目前位于佛得角群岛西侧约1040公里（645英里）的海面上，有望在威胁到陆地之前自行减弱消失。</t>
  </si>
  <si>
    <t xml:space="preserve">B::A_43::literal</t>
  </si>
  <si>
    <t xml:space="preserve">这场风暴，位于大约645英里（1040公里）在佛得角群岛的西边，很可能在威胁任何陆地地区之前消散，预报员们说。</t>
  </si>
  <si>
    <t xml:space="preserve">B::A_43::fluent_wrong</t>
  </si>
  <si>
    <t xml:space="preserve">预报员称，这场风暴位于佛得角群岛以西约645英里（1040公里）处，很可能在对陆地构成威胁之后才会消散。</t>
  </si>
  <si>
    <t xml:space="preserve">之后才会</t>
  </si>
  <si>
    <t xml:space="preserve">[Mistranslation, major] Dissipate 'before' threatening land becomes 'after'.</t>
  </si>
  <si>
    <t xml:space="preserve">B::A_43::targeted_error</t>
  </si>
  <si>
    <t xml:space="preserve">预报员称，这场风暴位于佛得角群岛以西约465英里（1040公里）处，很可能在对任何陆地构成威胁之前就会消散。</t>
  </si>
  <si>
    <r>
      <rPr>
        <sz val="10"/>
        <rFont val="Arial"/>
        <family val="0"/>
        <charset val="1"/>
      </rPr>
      <t xml:space="preserve">465</t>
    </r>
    <r>
      <rPr>
        <sz val="10"/>
        <rFont val="Noto Sans CJK SC"/>
        <family val="2"/>
      </rPr>
      <t xml:space="preserve">英里</t>
    </r>
  </si>
  <si>
    <t xml:space="preserve">[Mistranslation, major] 645 miles becomes 465 miles (digits transposed).</t>
  </si>
  <si>
    <t xml:space="preserve">B::A_43::traditional_char</t>
  </si>
  <si>
    <t xml:space="preserve">預報員稱，這場風暴位於佛得角群島以西約645英里（1040公里）處，很可能在對任何陸地構成威脅之前就會消散。</t>
  </si>
  <si>
    <t xml:space="preserve">B::A_43::traditional_tw</t>
  </si>
  <si>
    <t xml:space="preserve">預報員稱，這場風暴位於維德角群島以西約645英里（1040公里）處，很可能在對任何陸地構成威脅之前就會消散。</t>
  </si>
  <si>
    <t xml:space="preserve">B::A_1741::gold</t>
  </si>
  <si>
    <t xml:space="preserve">A_1741</t>
  </si>
  <si>
    <t xml:space="preserve">The vertical clearance under the bridge is 15 meters. Construction was completed in August 2011, it didn't open to traffic until March 2017.</t>
  </si>
  <si>
    <t xml:space="preserve">桥下的垂直净空为15米。大桥于2011年8月完工，但直到2017年3月才通车。</t>
  </si>
  <si>
    <t xml:space="preserve">B::A_1741::paraphrase</t>
  </si>
  <si>
    <t xml:space="preserve">这座桥的桥下净高达15米；工程在2011年8月就已竣工，却一直拖到2017年3月才开放通行。</t>
  </si>
  <si>
    <t xml:space="preserve">B::A_1741::literal</t>
  </si>
  <si>
    <t xml:space="preserve">在桥下面的垂直间隙是15米。建设在2011年8月被完成，它没有对交通开放直到2017年3月。</t>
  </si>
  <si>
    <t xml:space="preserve">B::A_1741::padded</t>
  </si>
  <si>
    <t xml:space="preserve">这座桥梁桥下的垂直净空高度为15米。该座大桥的建设工程于2011年8月份正式宣告完工，但是却直到2017年3月份才最终开放通车。</t>
  </si>
  <si>
    <t xml:space="preserve">B::A_1741::fluent_wrong</t>
  </si>
  <si>
    <t xml:space="preserve">桥下的垂直净空为15米。大桥于2011年8月动工，但直到2017年3月才通车。</t>
  </si>
  <si>
    <t xml:space="preserve">动工</t>
  </si>
  <si>
    <t xml:space="preserve">[Mistranslation, major] Construction 'completed' becomes 'started'.</t>
  </si>
  <si>
    <t xml:space="preserve">B::A_1741::targeted_error</t>
  </si>
  <si>
    <t xml:space="preserve">桥下的垂直净空为15米。大桥于2011年8月完工，但直到2017年5月才通车。</t>
  </si>
  <si>
    <r>
      <rPr>
        <sz val="10"/>
        <rFont val="Arial"/>
        <family val="0"/>
        <charset val="1"/>
      </rPr>
      <t xml:space="preserve">2017</t>
    </r>
    <r>
      <rPr>
        <sz val="10"/>
        <rFont val="Noto Sans CJK SC"/>
        <family val="2"/>
      </rPr>
      <t xml:space="preserve">年</t>
    </r>
    <r>
      <rPr>
        <sz val="10"/>
        <rFont val="Arial"/>
        <family val="0"/>
        <charset val="1"/>
      </rPr>
      <t xml:space="preserve">5</t>
    </r>
    <r>
      <rPr>
        <sz val="10"/>
        <rFont val="Noto Sans CJK SC"/>
        <family val="2"/>
      </rPr>
      <t xml:space="preserve">月</t>
    </r>
  </si>
  <si>
    <t xml:space="preserve">[Mistranslation, major] March 2017 becomes May 2017.</t>
  </si>
  <si>
    <t xml:space="preserve">B::A_1741::traditional_char</t>
  </si>
  <si>
    <t xml:space="preserve">橋下的垂直淨空為15米。大橋於2011年8月完工，但直到2017年3月才通車。</t>
  </si>
  <si>
    <t xml:space="preserve">B::A_1741::traditional_tw</t>
  </si>
  <si>
    <t xml:space="preserve">橋下的垂直淨高為15公尺。大橋於2011年8月完工，但直到2017年3月才通車。</t>
  </si>
  <si>
    <t xml:space="preserve">B::N_NUM1::gold</t>
  </si>
  <si>
    <t xml:space="preserve">N_NUM1</t>
  </si>
  <si>
    <t xml:space="preserve">The rent increased by 15% to $2,300 a month, effective October 1.</t>
  </si>
  <si>
    <t xml:space="preserve">房租上涨了15%，涨至每月2300美元，自10月1日起生效。</t>
  </si>
  <si>
    <t xml:space="preserve">B::N_NUM1::paraphrase</t>
  </si>
  <si>
    <t xml:space="preserve">从10月1日开始，月租金上调百分之十五，达到2300美元。</t>
  </si>
  <si>
    <t xml:space="preserve">B::N_NUM1::literal</t>
  </si>
  <si>
    <t xml:space="preserve">房租增加了15%到每月2,300美元，有效于10月1日。</t>
  </si>
  <si>
    <t xml:space="preserve">B::N_NUM1::fluent_wrong</t>
  </si>
  <si>
    <t xml:space="preserve">房租上涨了15%，涨至每年2300美元，自10月1日起生效。</t>
  </si>
  <si>
    <t xml:space="preserve">每年</t>
  </si>
  <si>
    <t xml:space="preserve">[Mistranslation, major] 'A month' becomes 'a year'.</t>
  </si>
  <si>
    <t xml:space="preserve">B::N_NUM1::targeted_error</t>
  </si>
  <si>
    <t xml:space="preserve">房租上涨了50%，涨至每月2300美元，自10月1日起生效。</t>
  </si>
  <si>
    <t xml:space="preserve">50%</t>
  </si>
  <si>
    <t xml:space="preserve">[Mistranslation, major] 15% becomes 50%.</t>
  </si>
  <si>
    <t xml:space="preserve">B::N_NUM1::traditional_char</t>
  </si>
  <si>
    <t xml:space="preserve">房租上漲了15%，漲至每月2300美元，自10月1日起生效。</t>
  </si>
  <si>
    <t xml:space="preserve">B::S52_003::gold</t>
  </si>
  <si>
    <t xml:space="preserve">S52_003</t>
  </si>
  <si>
    <t xml:space="preserve">named_entity</t>
  </si>
  <si>
    <t xml:space="preserve">Muiriel is 20 now.</t>
  </si>
  <si>
    <t xml:space="preserve">穆里尔现在二十岁了。</t>
  </si>
  <si>
    <r>
      <rPr>
        <sz val="10"/>
        <rFont val="Arial"/>
        <family val="0"/>
        <charset val="1"/>
      </rPr>
      <t xml:space="preserve">PROPOSED REFERENCE. Should be a fully correct, natural Mainland Mandarin translation. If anything is wrong or unnatural, write a corrected sentence in column Q - it will become the reference for every row of this source.  NOTE: Paraphrase deliberately uses a different but valid transliteration (</t>
    </r>
    <r>
      <rPr>
        <sz val="10"/>
        <rFont val="Noto Sans CJK SC"/>
        <family val="2"/>
      </rPr>
      <t xml:space="preserve">穆瑞尔 </t>
    </r>
    <r>
      <rPr>
        <sz val="10"/>
        <rFont val="Arial"/>
        <family val="0"/>
        <charset val="1"/>
      </rPr>
      <t xml:space="preserve">vs </t>
    </r>
    <r>
      <rPr>
        <sz val="10"/>
        <rFont val="Noto Sans CJK SC"/>
        <family val="2"/>
      </rPr>
      <t xml:space="preserve">穆里尔</t>
    </r>
    <r>
      <rPr>
        <sz val="10"/>
        <rFont val="Arial"/>
        <family val="0"/>
        <charset val="1"/>
      </rPr>
      <t xml:space="preserve">) to test whether judges penalise transliteration variation.</t>
    </r>
  </si>
  <si>
    <t xml:space="preserve">B::S52_003::paraphrase</t>
  </si>
  <si>
    <t xml:space="preserve">穆瑞尔如今已年满二十。</t>
  </si>
  <si>
    <t xml:space="preserve">B::S52_003::literal</t>
  </si>
  <si>
    <t xml:space="preserve">穆里尔现在是二十岁。</t>
  </si>
  <si>
    <t xml:space="preserve">B::S52_003::fluent_wrong</t>
  </si>
  <si>
    <t xml:space="preserve">穆里尔现在十二岁了。</t>
  </si>
  <si>
    <t xml:space="preserve">十二</t>
  </si>
  <si>
    <t xml:space="preserve">[Mistranslation, major] Age 20 becomes 12.</t>
  </si>
  <si>
    <t xml:space="preserve">B::S52_003::targeted_error</t>
  </si>
  <si>
    <t xml:space="preserve">穆勒现在二十岁了。</t>
  </si>
  <si>
    <t xml:space="preserve">穆勒</t>
  </si>
  <si>
    <t xml:space="preserve">[Mistranslation, major] Name transliterated as a different name (Muiriel -&gt; 'Müller').</t>
  </si>
  <si>
    <t xml:space="preserve">B::S52_003::original_candidate</t>
  </si>
  <si>
    <t xml:space="preserve">穆瑞尔现在二十岁了。</t>
  </si>
  <si>
    <t xml:space="preserve">B::S52_003::traditional_char</t>
  </si>
  <si>
    <t xml:space="preserve">穆里爾現在二十歲了。</t>
  </si>
  <si>
    <t xml:space="preserve">B::S52_004::gold</t>
  </si>
  <si>
    <t xml:space="preserve">S52_004</t>
  </si>
  <si>
    <t xml:space="preserve">The password is "Muiriel".</t>
  </si>
  <si>
    <t xml:space="preserve">密码是“Muiriel”。</t>
  </si>
  <si>
    <t xml:space="preserve">B::S52_004::paraphrase</t>
  </si>
  <si>
    <t xml:space="preserve">口令为“Muiriel”。</t>
  </si>
  <si>
    <t xml:space="preserve">B::S52_004::literal</t>
  </si>
  <si>
    <t xml:space="preserve">那个密码是“Muiriel”。</t>
  </si>
  <si>
    <t xml:space="preserve">B::S52_004::fluent_wrong</t>
  </si>
  <si>
    <t xml:space="preserve">密码不是“Muiriel”。</t>
  </si>
  <si>
    <t xml:space="preserve">不是</t>
  </si>
  <si>
    <t xml:space="preserve">[Mistranslation, major] Statement negated.</t>
  </si>
  <si>
    <t xml:space="preserve">B::S52_004::targeted_error</t>
  </si>
  <si>
    <t xml:space="preserve">密码是“穆里尔”。</t>
  </si>
  <si>
    <t xml:space="preserve">穆里尔</t>
  </si>
  <si>
    <t xml:space="preserve">[Mistranslation, critical] A password must stay verbatim; transliterating it makes the information unusable.</t>
  </si>
  <si>
    <t xml:space="preserve">critical</t>
  </si>
  <si>
    <t xml:space="preserve">B::S52_004::original_candidate</t>
  </si>
  <si>
    <t xml:space="preserve">密码是"Muriel"。</t>
  </si>
  <si>
    <t xml:space="preserve">Existing Sprint 52 machine translation, not written for this sprint. We only need your quality band and any errors you see. Expected: Password transliterated/misspelled (Muriel vs Muiriel) - the password becomes wrong.</t>
  </si>
  <si>
    <r>
      <rPr>
        <sz val="10"/>
        <rFont val="Noto Sans CJK SC"/>
        <family val="2"/>
      </rPr>
      <t xml:space="preserve">密码是</t>
    </r>
    <r>
      <rPr>
        <sz val="10"/>
        <rFont val="Arial"/>
        <family val="0"/>
        <charset val="1"/>
      </rPr>
      <t xml:space="preserve">"Muriel" — </t>
    </r>
    <r>
      <rPr>
        <sz val="10"/>
        <rFont val="Noto Sans CJK SC"/>
        <family val="2"/>
      </rPr>
      <t xml:space="preserve">密码中的字符串与源文中的 “</t>
    </r>
    <r>
      <rPr>
        <sz val="10"/>
        <rFont val="Arial"/>
        <family val="0"/>
        <charset val="1"/>
      </rPr>
      <t xml:space="preserve">Muiriel” </t>
    </r>
    <r>
      <rPr>
        <sz val="10"/>
        <rFont val="Noto Sans CJK SC"/>
        <family val="2"/>
      </rPr>
      <t xml:space="preserve">不一致。</t>
    </r>
  </si>
  <si>
    <r>
      <rPr>
        <sz val="10"/>
        <rFont val="Noto Sans CJK SC"/>
        <family val="2"/>
      </rPr>
      <t xml:space="preserve">密码是“</t>
    </r>
    <r>
      <rPr>
        <sz val="10"/>
        <rFont val="Arial"/>
        <family val="0"/>
        <charset val="1"/>
      </rPr>
      <t xml:space="preserve">Muiriel”</t>
    </r>
    <r>
      <rPr>
        <sz val="10"/>
        <rFont val="Noto Sans CJK SC"/>
        <family val="2"/>
      </rPr>
      <t xml:space="preserve">。</t>
    </r>
  </si>
  <si>
    <t xml:space="preserve">B::A_386::gold</t>
  </si>
  <si>
    <t xml:space="preserve">A_386</t>
  </si>
  <si>
    <t xml:space="preserve">Hangeul is the only purposely invented alphabet in popular daily use. The alphabet was invented in 1444 during the reign of King Sejong (1418 – 1450).</t>
  </si>
  <si>
    <t xml:space="preserve">韩文字母是唯一一种特意发明、供日常使用的字母表，于1444年世宗大王（1418—1450年在位）统治时期创制。</t>
  </si>
  <si>
    <r>
      <rPr>
        <sz val="10"/>
        <rFont val="Arial"/>
        <family val="0"/>
        <charset val="1"/>
      </rPr>
      <t xml:space="preserve">PROPOSED REFERENCE. Should be a fully correct, natural Mainland Mandarin translation. If anything is wrong or unnatural, write a corrected sentence in column Q - it will become the reference for every row of this source.  NOTE: Gold departs from the Sprint 50 reference, which says </t>
    </r>
    <r>
      <rPr>
        <sz val="10"/>
        <rFont val="Noto Sans CJK SC"/>
        <family val="2"/>
      </rPr>
      <t xml:space="preserve">世宗皇帝 </t>
    </r>
    <r>
      <rPr>
        <sz val="10"/>
        <rFont val="Arial"/>
        <family val="0"/>
        <charset val="1"/>
      </rPr>
      <t xml:space="preserve">('Emperor'); Sejong was a king, conventionally </t>
    </r>
    <r>
      <rPr>
        <sz val="10"/>
        <rFont val="Noto Sans CJK SC"/>
        <family val="2"/>
      </rPr>
      <t xml:space="preserve">世宗大王</t>
    </r>
    <r>
      <rPr>
        <sz val="10"/>
        <rFont val="Arial"/>
        <family val="0"/>
        <charset val="1"/>
      </rPr>
      <t xml:space="preserve">.</t>
    </r>
  </si>
  <si>
    <t xml:space="preserve">B::A_386::paraphrase</t>
  </si>
  <si>
    <t xml:space="preserve">在日常生活中普遍使用的字母文字里，只有韩文是人为专门创造的；它诞生于1444年，当时朝鲜正处在世宗大王的统治之下（1418至1450年）。</t>
  </si>
  <si>
    <t xml:space="preserve">B::A_386::literal</t>
  </si>
  <si>
    <t xml:space="preserve">韩文是唯一的被故意发明的字母在流行的日常使用中。这个字母被发明于1444年在世宗国王的统治期间（1418–1450）。</t>
  </si>
  <si>
    <t xml:space="preserve">B::A_386::fluent_wrong</t>
  </si>
  <si>
    <t xml:space="preserve">韩文字母是最早一种特意发明、供日常使用的字母表，于1444年世宗大王（1418—1450年在位）统治时期创制。</t>
  </si>
  <si>
    <t xml:space="preserve">最早</t>
  </si>
  <si>
    <t xml:space="preserve">[Mistranslation, major] 'The only' becomes 'the earliest'.</t>
  </si>
  <si>
    <t xml:space="preserve">B::A_386::targeted_error</t>
  </si>
  <si>
    <t xml:space="preserve">韩文字母是唯一一种特意发明、供日常使用的字母表，于1444年世祖大王（1418—1450年在位）统治时期创制。</t>
  </si>
  <si>
    <t xml:space="preserve">世祖大王</t>
  </si>
  <si>
    <r>
      <rPr>
        <sz val="10"/>
        <rFont val="Arial"/>
        <family val="0"/>
        <charset val="1"/>
      </rPr>
      <t xml:space="preserve">[Mistranslation, major] King Sejong (</t>
    </r>
    <r>
      <rPr>
        <sz val="10"/>
        <rFont val="Noto Sans CJK SC"/>
        <family val="2"/>
      </rPr>
      <t xml:space="preserve">世宗</t>
    </r>
    <r>
      <rPr>
        <sz val="10"/>
        <rFont val="Arial"/>
        <family val="0"/>
        <charset val="1"/>
      </rPr>
      <t xml:space="preserve">) replaced by a different Joseon king (</t>
    </r>
    <r>
      <rPr>
        <sz val="10"/>
        <rFont val="Noto Sans CJK SC"/>
        <family val="2"/>
      </rPr>
      <t xml:space="preserve">世祖</t>
    </r>
    <r>
      <rPr>
        <sz val="10"/>
        <rFont val="Arial"/>
        <family val="0"/>
        <charset val="1"/>
      </rPr>
      <t xml:space="preserve">).</t>
    </r>
  </si>
  <si>
    <t xml:space="preserve">B::A_386::traditional_char</t>
  </si>
  <si>
    <t xml:space="preserve">韓文字母是唯一一種特意發明、供日常使用的字母表，於1444年世宗大王（1418—1450年在位）統治時期創制。</t>
  </si>
  <si>
    <t xml:space="preserve">B::A_1106::gold</t>
  </si>
  <si>
    <t xml:space="preserve">A_1106</t>
  </si>
  <si>
    <t xml:space="preserve">Dr. Malar Balasubramanian, 29, was found in Blue Ash, Ohio, a suburb approximately 15 miles north of Cincinnati lying on the ground beside the road in a T-shirt and underwear in an apparently heavily medicated state.</t>
  </si>
  <si>
    <r>
      <rPr>
        <b val="true"/>
        <sz val="10"/>
        <rFont val="Arial"/>
        <family val="0"/>
        <charset val="1"/>
      </rPr>
      <t xml:space="preserve">29</t>
    </r>
    <r>
      <rPr>
        <b val="true"/>
        <sz val="10"/>
        <rFont val="Noto Sans CJK SC"/>
        <family val="2"/>
      </rPr>
      <t xml:space="preserve">岁的马拉尔</t>
    </r>
    <r>
      <rPr>
        <b val="true"/>
        <sz val="10"/>
        <rFont val="Arial"/>
        <family val="0"/>
        <charset val="1"/>
      </rPr>
      <t xml:space="preserve">·</t>
    </r>
    <r>
      <rPr>
        <b val="true"/>
        <sz val="10"/>
        <rFont val="Noto Sans CJK SC"/>
        <family val="2"/>
      </rPr>
      <t xml:space="preserve">巴拉苏布拉马尼安医生被发现躺在俄亥俄州布卢阿什的路边地上。布卢阿什是辛辛那提以北约</t>
    </r>
    <r>
      <rPr>
        <b val="true"/>
        <sz val="10"/>
        <rFont val="Arial"/>
        <family val="0"/>
        <charset val="1"/>
      </rPr>
      <t xml:space="preserve">15</t>
    </r>
    <r>
      <rPr>
        <b val="true"/>
        <sz val="10"/>
        <rFont val="Noto Sans CJK SC"/>
        <family val="2"/>
      </rPr>
      <t xml:space="preserve">英里的一个郊区。被发现时，她身穿</t>
    </r>
    <r>
      <rPr>
        <b val="true"/>
        <sz val="10"/>
        <rFont val="Arial"/>
        <family val="0"/>
        <charset val="1"/>
      </rPr>
      <t xml:space="preserve">T</t>
    </r>
    <r>
      <rPr>
        <b val="true"/>
        <sz val="10"/>
        <rFont val="Noto Sans CJK SC"/>
        <family val="2"/>
      </rPr>
      <t xml:space="preserve">恤和内裤，显然服用了大量药物。</t>
    </r>
  </si>
  <si>
    <r>
      <rPr>
        <sz val="10"/>
        <rFont val="Arial"/>
        <family val="0"/>
        <charset val="1"/>
      </rPr>
      <t xml:space="preserve">29</t>
    </r>
    <r>
      <rPr>
        <sz val="10"/>
        <rFont val="Noto Sans CJK SC"/>
        <family val="2"/>
      </rPr>
      <t xml:space="preserve">岁的马拉尔</t>
    </r>
    <r>
      <rPr>
        <sz val="10"/>
        <rFont val="Arial"/>
        <family val="0"/>
        <charset val="1"/>
      </rPr>
      <t xml:space="preserve">·</t>
    </r>
    <r>
      <rPr>
        <sz val="10"/>
        <rFont val="Noto Sans CJK SC"/>
        <family val="2"/>
      </rPr>
      <t xml:space="preserve">巴拉苏布拉马尼安医生被发现躺在俄亥俄州布卢阿什的路边地上。布卢阿什是辛辛那提以北约</t>
    </r>
    <r>
      <rPr>
        <sz val="10"/>
        <rFont val="Arial"/>
        <family val="0"/>
        <charset val="1"/>
      </rPr>
      <t xml:space="preserve">15</t>
    </r>
    <r>
      <rPr>
        <sz val="10"/>
        <rFont val="Noto Sans CJK SC"/>
        <family val="2"/>
      </rPr>
      <t xml:space="preserve">英里的一个郊区。被发现时，她身穿</t>
    </r>
    <r>
      <rPr>
        <sz val="10"/>
        <rFont val="Arial"/>
        <family val="0"/>
        <charset val="1"/>
      </rPr>
      <t xml:space="preserve">T</t>
    </r>
    <r>
      <rPr>
        <sz val="10"/>
        <rFont val="Noto Sans CJK SC"/>
        <family val="2"/>
      </rPr>
      <t xml:space="preserve">恤和内裤，显然服用了大量药物。</t>
    </r>
  </si>
  <si>
    <r>
      <rPr>
        <sz val="10"/>
        <rFont val="Arial"/>
        <family val="0"/>
        <charset val="1"/>
      </rPr>
      <t xml:space="preserve">PROPOSED REFERENCE. Should be a fully correct, natural Mainland Mandarin translation. If anything is wrong or unnatural, write a corrected sentence in column Q - it will become the reference for every row of this source.  NOTE: 'Dr.' is ambiguous (medical doctor vs PhD); gold follows the Sprint 50 reference (</t>
    </r>
    <r>
      <rPr>
        <sz val="10"/>
        <rFont val="Noto Sans CJK SC"/>
        <family val="2"/>
      </rPr>
      <t xml:space="preserve">医生</t>
    </r>
    <r>
      <rPr>
        <sz val="10"/>
        <rFont val="Arial"/>
        <family val="0"/>
        <charset val="1"/>
      </rPr>
      <t xml:space="preserve">).</t>
    </r>
  </si>
  <si>
    <t xml:space="preserve">B::A_1106::paraphrase</t>
  </si>
  <si>
    <t xml:space="preserve">在辛辛那提北面约15英里的郊区——俄亥俄州布卢阿什，人们发现现年29岁的马拉尔·巴拉苏布拉马尼安医生倒卧在路旁，身上穿着T恤和内衣，看起来像是服用了大量药物。</t>
  </si>
  <si>
    <t xml:space="preserve">B::A_1106::literal</t>
  </si>
  <si>
    <t xml:space="preserve">马拉尔·巴拉苏布拉马尼安医生，29岁，被发现在布卢阿什，俄亥俄州，一个大约在辛辛那提北边15英里的郊区，躺在路旁边的地上，穿着一件T恤和内衣，处在一个显然被大量用药的状态中。</t>
  </si>
  <si>
    <t xml:space="preserve">B::A_1106::fluent_wrong</t>
  </si>
  <si>
    <r>
      <rPr>
        <b val="true"/>
        <sz val="10"/>
        <rFont val="Arial"/>
        <family val="0"/>
        <charset val="1"/>
      </rPr>
      <t xml:space="preserve">29</t>
    </r>
    <r>
      <rPr>
        <b val="true"/>
        <sz val="10"/>
        <rFont val="Noto Sans CJK SC"/>
        <family val="2"/>
      </rPr>
      <t xml:space="preserve">岁的马拉尔</t>
    </r>
    <r>
      <rPr>
        <b val="true"/>
        <sz val="10"/>
        <rFont val="Arial"/>
        <family val="0"/>
        <charset val="1"/>
      </rPr>
      <t xml:space="preserve">·</t>
    </r>
    <r>
      <rPr>
        <b val="true"/>
        <sz val="10"/>
        <rFont val="Noto Sans CJK SC"/>
        <family val="2"/>
      </rPr>
      <t xml:space="preserve">巴拉苏布拉马尼安医生被发现躺在俄亥俄州布卢阿什的路边地上。布卢阿什是辛辛那提以南约</t>
    </r>
    <r>
      <rPr>
        <b val="true"/>
        <sz val="10"/>
        <rFont val="Arial"/>
        <family val="0"/>
        <charset val="1"/>
      </rPr>
      <t xml:space="preserve">15</t>
    </r>
    <r>
      <rPr>
        <b val="true"/>
        <sz val="10"/>
        <rFont val="Noto Sans CJK SC"/>
        <family val="2"/>
      </rPr>
      <t xml:space="preserve">英里的一个郊区。被发现时，她身穿</t>
    </r>
    <r>
      <rPr>
        <b val="true"/>
        <sz val="10"/>
        <rFont val="Arial"/>
        <family val="0"/>
        <charset val="1"/>
      </rPr>
      <t xml:space="preserve">T</t>
    </r>
    <r>
      <rPr>
        <b val="true"/>
        <sz val="10"/>
        <rFont val="Noto Sans CJK SC"/>
        <family val="2"/>
      </rPr>
      <t xml:space="preserve">恤和内裤，显然服用了大量药物。</t>
    </r>
  </si>
  <si>
    <t xml:space="preserve">以南</t>
  </si>
  <si>
    <t xml:space="preserve">[Mistranslation, major] 'North of Cincinnati' becomes 'south of'.</t>
  </si>
  <si>
    <t xml:space="preserve">B::A_1106::targeted_error</t>
  </si>
  <si>
    <r>
      <rPr>
        <b val="true"/>
        <sz val="10"/>
        <rFont val="Arial"/>
        <family val="0"/>
        <charset val="1"/>
      </rPr>
      <t xml:space="preserve">29</t>
    </r>
    <r>
      <rPr>
        <b val="true"/>
        <sz val="10"/>
        <rFont val="Noto Sans CJK SC"/>
        <family val="2"/>
      </rPr>
      <t xml:space="preserve">岁的马拉尔</t>
    </r>
    <r>
      <rPr>
        <b val="true"/>
        <sz val="10"/>
        <rFont val="Arial"/>
        <family val="0"/>
        <charset val="1"/>
      </rPr>
      <t xml:space="preserve">·</t>
    </r>
    <r>
      <rPr>
        <b val="true"/>
        <sz val="10"/>
        <rFont val="Noto Sans CJK SC"/>
        <family val="2"/>
      </rPr>
      <t xml:space="preserve">巴拉苏布拉马尼安医生被发现躺在俄亥俄州蓝灰市的路边地上。蓝灰市是辛辛那提以北约</t>
    </r>
    <r>
      <rPr>
        <b val="true"/>
        <sz val="10"/>
        <rFont val="Arial"/>
        <family val="0"/>
        <charset val="1"/>
      </rPr>
      <t xml:space="preserve">15</t>
    </r>
    <r>
      <rPr>
        <b val="true"/>
        <sz val="10"/>
        <rFont val="Noto Sans CJK SC"/>
        <family val="2"/>
      </rPr>
      <t xml:space="preserve">英里的一个郊区。被发现时，她身穿</t>
    </r>
    <r>
      <rPr>
        <b val="true"/>
        <sz val="10"/>
        <rFont val="Arial"/>
        <family val="0"/>
        <charset val="1"/>
      </rPr>
      <t xml:space="preserve">T</t>
    </r>
    <r>
      <rPr>
        <b val="true"/>
        <sz val="10"/>
        <rFont val="Noto Sans CJK SC"/>
        <family val="2"/>
      </rPr>
      <t xml:space="preserve">恤和内裤，显然服用了大量药物。</t>
    </r>
  </si>
  <si>
    <t xml:space="preserve">蓝灰市</t>
  </si>
  <si>
    <t xml:space="preserve">[Mistranslation, major] Place name 'Blue Ash' translated word-by-word ('blue-grey city') instead of transliterated (same error as the Sprint 50 MT output). Appears twice.</t>
  </si>
  <si>
    <t xml:space="preserve">B::A_1106::traditional_char</t>
  </si>
  <si>
    <r>
      <rPr>
        <b val="true"/>
        <sz val="10"/>
        <rFont val="Arial"/>
        <family val="0"/>
        <charset val="1"/>
      </rPr>
      <t xml:space="preserve">29</t>
    </r>
    <r>
      <rPr>
        <b val="true"/>
        <sz val="10"/>
        <rFont val="Noto Sans CJK SC"/>
        <family val="2"/>
      </rPr>
      <t xml:space="preserve">歲的馬拉爾</t>
    </r>
    <r>
      <rPr>
        <b val="true"/>
        <sz val="10"/>
        <rFont val="Arial"/>
        <family val="0"/>
        <charset val="1"/>
      </rPr>
      <t xml:space="preserve">·</t>
    </r>
    <r>
      <rPr>
        <b val="true"/>
        <sz val="10"/>
        <rFont val="Noto Sans CJK SC"/>
        <family val="2"/>
      </rPr>
      <t xml:space="preserve">巴拉蘇布拉馬尼安醫生被發現躺在俄亥俄州布盧阿什的路邊地上。布盧阿什是辛辛那提以北約</t>
    </r>
    <r>
      <rPr>
        <b val="true"/>
        <sz val="10"/>
        <rFont val="Arial"/>
        <family val="0"/>
        <charset val="1"/>
      </rPr>
      <t xml:space="preserve">15</t>
    </r>
    <r>
      <rPr>
        <b val="true"/>
        <sz val="10"/>
        <rFont val="Noto Sans CJK SC"/>
        <family val="2"/>
      </rPr>
      <t xml:space="preserve">英里的一個郊區。被發現時，她身穿</t>
    </r>
    <r>
      <rPr>
        <b val="true"/>
        <sz val="10"/>
        <rFont val="Arial"/>
        <family val="0"/>
        <charset val="1"/>
      </rPr>
      <t xml:space="preserve">T</t>
    </r>
    <r>
      <rPr>
        <b val="true"/>
        <sz val="10"/>
        <rFont val="Noto Sans CJK SC"/>
        <family val="2"/>
      </rPr>
      <t xml:space="preserve">恤和內褲，顯然服用了大量藥物。</t>
    </r>
  </si>
  <si>
    <t xml:space="preserve">B::A_1106::traditional_tw</t>
  </si>
  <si>
    <r>
      <rPr>
        <b val="true"/>
        <sz val="10"/>
        <rFont val="Arial"/>
        <family val="0"/>
        <charset val="1"/>
      </rPr>
      <t xml:space="preserve">29</t>
    </r>
    <r>
      <rPr>
        <b val="true"/>
        <sz val="10"/>
        <rFont val="Noto Sans CJK SC"/>
        <family val="2"/>
      </rPr>
      <t xml:space="preserve">歲的馬拉爾</t>
    </r>
    <r>
      <rPr>
        <b val="true"/>
        <sz val="10"/>
        <rFont val="Arial"/>
        <family val="0"/>
        <charset val="1"/>
      </rPr>
      <t xml:space="preserve">·</t>
    </r>
    <r>
      <rPr>
        <b val="true"/>
        <sz val="10"/>
        <rFont val="Noto Sans CJK SC"/>
        <family val="2"/>
      </rPr>
      <t xml:space="preserve">巴拉蘇布拉馬尼安醫師被發現躺在俄亥俄州布盧阿什的路邊地上。布盧阿什是辛辛那提以北約</t>
    </r>
    <r>
      <rPr>
        <b val="true"/>
        <sz val="10"/>
        <rFont val="Arial"/>
        <family val="0"/>
        <charset val="1"/>
      </rPr>
      <t xml:space="preserve">15</t>
    </r>
    <r>
      <rPr>
        <b val="true"/>
        <sz val="10"/>
        <rFont val="Noto Sans CJK SC"/>
        <family val="2"/>
      </rPr>
      <t xml:space="preserve">英里的一個郊區。被發現時，她身穿</t>
    </r>
    <r>
      <rPr>
        <b val="true"/>
        <sz val="10"/>
        <rFont val="Arial"/>
        <family val="0"/>
        <charset val="1"/>
      </rPr>
      <t xml:space="preserve">T</t>
    </r>
    <r>
      <rPr>
        <b val="true"/>
        <sz val="10"/>
        <rFont val="Noto Sans CJK SC"/>
        <family val="2"/>
      </rPr>
      <t xml:space="preserve">恤和內褲，顯然服用了大量藥物。</t>
    </r>
  </si>
  <si>
    <t xml:space="preserve">B::A_1727::gold</t>
  </si>
  <si>
    <t xml:space="preserve">A_1727</t>
  </si>
  <si>
    <t xml:space="preserve">To get the best views of Hong Kong, leave the island and head for the Kowloon waterfront opposite.</t>
  </si>
  <si>
    <t xml:space="preserve">若想从最佳角度欣赏香港的美景，可以离开香港岛，前往对面的九龙海滨。</t>
  </si>
  <si>
    <t xml:space="preserve">B::A_1727::paraphrase</t>
  </si>
  <si>
    <t xml:space="preserve">想把香港景色尽收眼底，不妨离开港岛，到对岸的九龙海滨去。</t>
  </si>
  <si>
    <t xml:space="preserve">B::A_1727::literal</t>
  </si>
  <si>
    <t xml:space="preserve">为了得到香港的最好的景色，离开这个岛并且前往对面的九龙海滨。</t>
  </si>
  <si>
    <t xml:space="preserve">B::A_1727::fluent_wrong</t>
  </si>
  <si>
    <t xml:space="preserve">若想从最佳角度欣赏香港的美景，可以离开香港岛，前往后方的九龙海滨。</t>
  </si>
  <si>
    <t xml:space="preserve">后方</t>
  </si>
  <si>
    <t xml:space="preserve">[Mistranslation, major] Waterfront 'opposite' becomes 'behind'.</t>
  </si>
  <si>
    <t xml:space="preserve">B::A_1727::targeted_error</t>
  </si>
  <si>
    <t xml:space="preserve">若想从最佳角度欣赏香港的美景，可以离开香港岛，前往对面的科隆海滨。</t>
  </si>
  <si>
    <t xml:space="preserve">科隆</t>
  </si>
  <si>
    <r>
      <rPr>
        <sz val="10"/>
        <rFont val="Arial"/>
        <family val="0"/>
        <charset val="1"/>
      </rPr>
      <t xml:space="preserve">[Mistranslation, major] Kowloon rendered as </t>
    </r>
    <r>
      <rPr>
        <sz val="10"/>
        <rFont val="Noto Sans CJK SC"/>
        <family val="2"/>
      </rPr>
      <t xml:space="preserve">科隆 </t>
    </r>
    <r>
      <rPr>
        <sz val="10"/>
        <rFont val="Arial"/>
        <family val="0"/>
        <charset val="1"/>
      </rPr>
      <t xml:space="preserve">(Cologne) - same error as the Sprint 50 MT output.</t>
    </r>
  </si>
  <si>
    <t xml:space="preserve">B::A_1727::traditional_char</t>
  </si>
  <si>
    <t xml:space="preserve">若想從最佳角度欣賞香港的美景，可以離開香港島，前往對面的九龍海濱。</t>
  </si>
  <si>
    <t xml:space="preserve">B::A_126::gold</t>
  </si>
  <si>
    <t xml:space="preserve">A_126</t>
  </si>
  <si>
    <t xml:space="preserve">Since its inception, The Onion has become a veritable news parody empire, with a print edition, a website that drew 5,000,000 unique visitors in the month of October, personal ads, a 24 hour news network, podcasts, and a recently launched world atlas called Our Dumb World.</t>
  </si>
  <si>
    <t xml:space="preserve">自创办以来，《洋葱报》已经成为一个名副其实的恶搞新闻帝国，旗下拥有印刷版、网站（10月份吸引了500万独立访客）、个人广告、24小时新闻网络、播客，以及近期推出的世界地图集《我们的愚蠢世界》。</t>
  </si>
  <si>
    <t xml:space="preserve">B::A_126::paraphrase</t>
  </si>
  <si>
    <t xml:space="preserve">《洋葱报》创刊至今，已发展成一个不折不扣的恶搞新闻王国：它既有纸质版，也有网站（仅10月就迎来了500万名独立访客），还经营征友广告、全天候新闻频道和播客，最近更推出了一本世界地图集，书名叫《我们的愚蠢世界》。</t>
  </si>
  <si>
    <t xml:space="preserve">B::A_126::literal</t>
  </si>
  <si>
    <t xml:space="preserve">自从它的开始，《洋葱报》已经变成了一个名副其实的新闻模仿帝国，带有一个印刷版、一个在十月份吸引了5,000,000个独立访问者的网站、个人广告、一个24小时新闻网络、播客，以及一个最近推出的叫作《我们的愚蠢世界》的世界地图集。</t>
  </si>
  <si>
    <t xml:space="preserve">B::A_126::fluent_wrong</t>
  </si>
  <si>
    <t xml:space="preserve">自创办以来，《洋葱报》已经成为一个名副其实的恶搞新闻帝国，旗下拥有印刷版、网站（10月份吸引了5000万独立访客）、个人广告、24小时新闻网络、播客，以及近期推出的世界地图集《我们的愚蠢世界》。</t>
  </si>
  <si>
    <r>
      <rPr>
        <sz val="10"/>
        <rFont val="Arial"/>
        <family val="0"/>
        <charset val="1"/>
      </rPr>
      <t xml:space="preserve">5000</t>
    </r>
    <r>
      <rPr>
        <sz val="10"/>
        <rFont val="Noto Sans CJK SC"/>
        <family val="2"/>
      </rPr>
      <t xml:space="preserve">万</t>
    </r>
  </si>
  <si>
    <r>
      <rPr>
        <sz val="10"/>
        <rFont val="Arial"/>
        <family val="0"/>
        <charset val="1"/>
      </rPr>
      <t xml:space="preserve">[Mistranslation, major] 5,000,000 (500</t>
    </r>
    <r>
      <rPr>
        <sz val="10"/>
        <rFont val="Noto Sans CJK SC"/>
        <family val="2"/>
      </rPr>
      <t xml:space="preserve">万</t>
    </r>
    <r>
      <rPr>
        <sz val="10"/>
        <rFont val="Arial"/>
        <family val="0"/>
        <charset val="1"/>
      </rPr>
      <t xml:space="preserve">) becomes 50,000,000 (5000</t>
    </r>
    <r>
      <rPr>
        <sz val="10"/>
        <rFont val="Noto Sans CJK SC"/>
        <family val="2"/>
      </rPr>
      <t xml:space="preserve">万</t>
    </r>
    <r>
      <rPr>
        <sz val="10"/>
        <rFont val="Arial"/>
        <family val="0"/>
        <charset val="1"/>
      </rPr>
      <t xml:space="preserve">) - same error as the Sprint 50 MT output.</t>
    </r>
  </si>
  <si>
    <t xml:space="preserve">B::A_126::targeted_error</t>
  </si>
  <si>
    <t xml:space="preserve">自创办以来，《洋葱圈》已经成为一个名副其实的恶搞新闻帝国，旗下拥有印刷版、网站（10月份吸引了500万独立访客）、个人广告、24小时新闻网络、播客，以及近期推出的世界地图集《我们的愚蠢世界》。</t>
  </si>
  <si>
    <t xml:space="preserve">洋葱圈</t>
  </si>
  <si>
    <t xml:space="preserve">[Mistranslation, major] Publication name 'The Onion' becomes 'Onion Rings'.</t>
  </si>
  <si>
    <t xml:space="preserve">B::A_126::traditional_char</t>
  </si>
  <si>
    <t xml:space="preserve">自創辦以來，《洋蔥報》已經成為一個名副其實的惡搞新聞帝國，旗下擁有印刷版、網站（10月份吸引了500萬獨立訪客）、個人廣告、24小時新聞網絡、播客，以及近期推出的世界地圖集《我們的愚蠢世界》。</t>
  </si>
  <si>
    <t xml:space="preserve">B::A_126::traditional_tw</t>
  </si>
  <si>
    <t xml:space="preserve">自創辦以來，《洋蔥報》已經成為一個名副其實的惡搞新聞帝國，旗下擁有印刷版、網站（10月份吸引了500萬名不重複訪客）、個人廣告、24小時新聞網路、Podcast，以及近期推出的世界地圖集《我們的愚蠢世界》。</t>
  </si>
  <si>
    <t xml:space="preserve">B::S52_012::gold</t>
  </si>
  <si>
    <t xml:space="preserve">S52_012</t>
  </si>
  <si>
    <t xml:space="preserve">terminology</t>
  </si>
  <si>
    <t xml:space="preserve">The quarterly earnings report exceeded analysts' expectations.</t>
  </si>
  <si>
    <t xml:space="preserve">季度财报超出了分析师的预期。</t>
  </si>
  <si>
    <t xml:space="preserve">B::S52_012::paraphrase</t>
  </si>
  <si>
    <t xml:space="preserve">这份季报的业绩好于分析人士的预估。</t>
  </si>
  <si>
    <t xml:space="preserve">B::S52_012::literal</t>
  </si>
  <si>
    <t xml:space="preserve">季度的收益报告超过了分析师们的期望。</t>
  </si>
  <si>
    <t xml:space="preserve">B::S52_012::padded</t>
  </si>
  <si>
    <t xml:space="preserve">这份季度财务报告所呈现出的业绩表现，超出了分析师们事先所做出的预期。</t>
  </si>
  <si>
    <t xml:space="preserve">B::S52_012::fluent_wrong</t>
  </si>
  <si>
    <t xml:space="preserve">季度财报未达到分析师的预期。</t>
  </si>
  <si>
    <t xml:space="preserve">未达到</t>
  </si>
  <si>
    <t xml:space="preserve">[Mistranslation, major] 'Exceeded' becomes 'fell short of'.</t>
  </si>
  <si>
    <t xml:space="preserve">B::S52_012::targeted_error</t>
  </si>
  <si>
    <t xml:space="preserve">季度营收报告超出了分析师的预期。</t>
  </si>
  <si>
    <t xml:space="preserve">营收</t>
  </si>
  <si>
    <t xml:space="preserve">[Mistranslation, major] 'Earnings' (profit) rendered as 'revenue' - a finance terminology error.</t>
  </si>
  <si>
    <t xml:space="preserve">B::S52_012::original_candidate</t>
  </si>
  <si>
    <t xml:space="preserve">季度收益报告超出了分析师的预期。</t>
  </si>
  <si>
    <t xml:space="preserve">B::S52_012::traditional_char</t>
  </si>
  <si>
    <t xml:space="preserve">季度財報超出了分析師的預期。</t>
  </si>
  <si>
    <t xml:space="preserve">B::S52_013::gold</t>
  </si>
  <si>
    <t xml:space="preserve">S52_013</t>
  </si>
  <si>
    <t xml:space="preserve">Please restart the server if the application becomes unresponsive.</t>
  </si>
  <si>
    <t xml:space="preserve">如果应用程序无响应，请重启服务器。</t>
  </si>
  <si>
    <t xml:space="preserve">B::S52_013::paraphrase</t>
  </si>
  <si>
    <t xml:space="preserve">一旦应用停止响应，请重新启动服务器。</t>
  </si>
  <si>
    <t xml:space="preserve">B::S52_013::literal</t>
  </si>
  <si>
    <t xml:space="preserve">请重新启动服务器如果应用程序变得不响应。</t>
  </si>
  <si>
    <t xml:space="preserve">B::S52_013::fluent_wrong</t>
  </si>
  <si>
    <t xml:space="preserve">如果应用程序无响应，请关闭服务器。</t>
  </si>
  <si>
    <t xml:space="preserve">关闭</t>
  </si>
  <si>
    <t xml:space="preserve">[Mistranslation, major] 'Restart' becomes 'shut down'.</t>
  </si>
  <si>
    <t xml:space="preserve">B::S52_013::targeted_error</t>
  </si>
  <si>
    <t xml:space="preserve">如果应用程序无响应，请重启服务员。</t>
  </si>
  <si>
    <t xml:space="preserve">服务员</t>
  </si>
  <si>
    <t xml:space="preserve">[Mistranslation, major] 'Server' (computer) rendered as 'waiter'.</t>
  </si>
  <si>
    <t xml:space="preserve">B::S52_013::original_candidate</t>
  </si>
  <si>
    <t xml:space="preserve">如果应用程序没有响应,请重启服务器。</t>
  </si>
  <si>
    <t xml:space="preserve">B::S52_013::traditional_char</t>
  </si>
  <si>
    <t xml:space="preserve">如果應用程序無響應，請重啟服務器。</t>
  </si>
  <si>
    <t xml:space="preserve">B::S52_013::traditional_tw</t>
  </si>
  <si>
    <t xml:space="preserve">如果應用程式沒有回應，請重新啟動伺服器。</t>
  </si>
  <si>
    <t xml:space="preserve">B::A_1225::gold</t>
  </si>
  <si>
    <t xml:space="preserve">A_1225</t>
  </si>
  <si>
    <t xml:space="preserve">Murray lost the first set in a tie break after both men held each and every serve in the set.</t>
  </si>
  <si>
    <t xml:space="preserve">在这一盘中双方都保住了自己的每一个发球局，最终穆雷在抢七中输掉了第一盘。</t>
  </si>
  <si>
    <t xml:space="preserve">B::A_1225::paraphrase</t>
  </si>
  <si>
    <t xml:space="preserve">首盘两人均无一失守发球局，穆雷在抢七大战中落败，丢掉了这一盘。</t>
  </si>
  <si>
    <t xml:space="preserve">B::A_1225::literal</t>
  </si>
  <si>
    <t xml:space="preserve">穆雷在一个抢七中输掉了第一盘，在两个人都保住了这一盘中的每一个发球局之后。</t>
  </si>
  <si>
    <t xml:space="preserve">B::A_1225::fluent_wrong</t>
  </si>
  <si>
    <t xml:space="preserve">在这一盘中双方都保住了自己的每一个发球局，最终穆雷在抢七中赢下了第一盘。</t>
  </si>
  <si>
    <t xml:space="preserve">赢下</t>
  </si>
  <si>
    <t xml:space="preserve">[Mistranslation, major] 'Lost' becomes 'won'.</t>
  </si>
  <si>
    <t xml:space="preserve">B::A_1225::targeted_error</t>
  </si>
  <si>
    <t xml:space="preserve">在这一盘中双方都保住了自己的每一个发球局，最终穆雷在平局中输掉了第一盘。</t>
  </si>
  <si>
    <t xml:space="preserve">平局</t>
  </si>
  <si>
    <r>
      <rPr>
        <sz val="10"/>
        <rFont val="Arial"/>
        <family val="0"/>
        <charset val="1"/>
      </rPr>
      <t xml:space="preserve">[Mistranslation, major] Tennis 'tie break' (</t>
    </r>
    <r>
      <rPr>
        <sz val="10"/>
        <rFont val="Noto Sans CJK SC"/>
        <family val="2"/>
      </rPr>
      <t xml:space="preserve">抢七</t>
    </r>
    <r>
      <rPr>
        <sz val="10"/>
        <rFont val="Arial"/>
        <family val="0"/>
        <charset val="1"/>
      </rPr>
      <t xml:space="preserve">) rendered as 'a draw' (</t>
    </r>
    <r>
      <rPr>
        <sz val="10"/>
        <rFont val="Noto Sans CJK SC"/>
        <family val="2"/>
      </rPr>
      <t xml:space="preserve">平局</t>
    </r>
    <r>
      <rPr>
        <sz val="10"/>
        <rFont val="Arial"/>
        <family val="0"/>
        <charset val="1"/>
      </rPr>
      <t xml:space="preserve">).</t>
    </r>
  </si>
  <si>
    <t xml:space="preserve">B::A_1225::traditional_char</t>
  </si>
  <si>
    <t xml:space="preserve">在這一盤中雙方都保住了自己的每一個發球局，最終穆雷在搶七中輸掉了第一盤。</t>
  </si>
  <si>
    <t xml:space="preserve">B::A_1225::traditional_tw</t>
  </si>
  <si>
    <t xml:space="preserve">在這一盤中雙方都保住了自己的每一個發球局，最終莫瑞在搶七中輸掉了第一盤。</t>
  </si>
  <si>
    <t xml:space="preserve">B::A_1676::gold</t>
  </si>
  <si>
    <t xml:space="preserve">A_1676</t>
  </si>
  <si>
    <t xml:space="preserve">Although AI has a strong connotation of science fiction, AI forms a very important branch of computer science, dealing with behavior, learning and intelligent adaptation in a machine.</t>
  </si>
  <si>
    <t xml:space="preserve">尽管人工智能带有浓厚的科幻色彩，但它是计算机科学中一个非常重要的分支，研究机器的行为、学习和智能适应。</t>
  </si>
  <si>
    <t xml:space="preserve">B::A_1676::paraphrase</t>
  </si>
  <si>
    <t xml:space="preserve">提起人工智能，人们常联想到科幻作品，但事实上它是计算机科学的一个重要分支，关注机器的行为方式、学习能力以及智能化的环境适应。</t>
  </si>
  <si>
    <t xml:space="preserve">B::A_1676::literal</t>
  </si>
  <si>
    <t xml:space="preserve">虽然人工智能有一个科幻小说的强烈含义，人工智能形成计算机科学的一个非常重要的分支，处理在一台机器中的行为、学习和智能适应。</t>
  </si>
  <si>
    <t xml:space="preserve">B::A_1676::fluent_wrong</t>
  </si>
  <si>
    <t xml:space="preserve">尽管人工智能带有浓厚的科幻色彩，但它只是计算机科学中一个次要的分支，研究机器的行为、学习和智能适应。</t>
  </si>
  <si>
    <t xml:space="preserve">次要</t>
  </si>
  <si>
    <t xml:space="preserve">[Mistranslation, major] 'Very important branch' becomes 'minor branch'.</t>
  </si>
  <si>
    <t xml:space="preserve">B::A_1676::targeted_error</t>
  </si>
  <si>
    <t xml:space="preserve">尽管人工智能带有浓厚的科幻色彩，但它是计算机科学中一个非常重要的分支，研究机器的行为、学习和智能改编。</t>
  </si>
  <si>
    <t xml:space="preserve">改编</t>
  </si>
  <si>
    <r>
      <rPr>
        <sz val="10"/>
        <rFont val="Arial"/>
        <family val="0"/>
        <charset val="1"/>
      </rPr>
      <t xml:space="preserve">[Mistranslation, major] 'Adaptation' (</t>
    </r>
    <r>
      <rPr>
        <sz val="10"/>
        <rFont val="Noto Sans CJK SC"/>
        <family val="2"/>
      </rPr>
      <t xml:space="preserve">适应</t>
    </r>
    <r>
      <rPr>
        <sz val="10"/>
        <rFont val="Arial"/>
        <family val="0"/>
        <charset val="1"/>
      </rPr>
      <t xml:space="preserve">) rendered as 'adaptation of a work' (</t>
    </r>
    <r>
      <rPr>
        <sz val="10"/>
        <rFont val="Noto Sans CJK SC"/>
        <family val="2"/>
      </rPr>
      <t xml:space="preserve">改编</t>
    </r>
    <r>
      <rPr>
        <sz val="10"/>
        <rFont val="Arial"/>
        <family val="0"/>
        <charset val="1"/>
      </rPr>
      <t xml:space="preserve">, e.g. film adaptation).</t>
    </r>
  </si>
  <si>
    <t xml:space="preserve">B::A_1676::traditional_char</t>
  </si>
  <si>
    <t xml:space="preserve">儘管人工智能帶有濃厚的科幻色彩，但它是計算機科學中一個非常重要的分支，研究機器的行為、學習和智能適應。</t>
  </si>
  <si>
    <t xml:space="preserve">B::A_1676::traditional_tw</t>
  </si>
  <si>
    <t xml:space="preserve">儘管人工智慧帶有濃厚的科幻色彩，但它是電腦科學中一個非常重要的分支，研究機器的行為、學習和智慧適應。</t>
  </si>
  <si>
    <t xml:space="preserve">B::N_TERM1::gold</t>
  </si>
  <si>
    <t xml:space="preserve">N_TERM1</t>
  </si>
  <si>
    <t xml:space="preserve">The patient was prescribed a broad-spectrum antibiotic after the blood test showed a bacterial infection.</t>
  </si>
  <si>
    <t xml:space="preserve">验血结果显示患者存在细菌感染，医生随后为其开了广谱抗生素。</t>
  </si>
  <si>
    <t xml:space="preserve">B::N_TERM1::paraphrase</t>
  </si>
  <si>
    <t xml:space="preserve">血检提示细菌感染后，患者被开具了一种广谱抗菌药。</t>
  </si>
  <si>
    <t xml:space="preserve">B::N_TERM1::literal</t>
  </si>
  <si>
    <t xml:space="preserve">病人被开了一种广谱的抗生素，在血液测试显示了一个细菌感染之后。</t>
  </si>
  <si>
    <t xml:space="preserve">B::N_TERM1::fluent_wrong</t>
  </si>
  <si>
    <t xml:space="preserve">验血结果显示患者存在病毒感染，医生随后为其开了广谱抗生素。</t>
  </si>
  <si>
    <t xml:space="preserve">病毒感染</t>
  </si>
  <si>
    <t xml:space="preserve">[Mistranslation, major] 'Bacterial' infection becomes 'viral'.</t>
  </si>
  <si>
    <t xml:space="preserve">B::N_TERM1::targeted_error</t>
  </si>
  <si>
    <t xml:space="preserve">验血结果显示患者存在细菌感染，医生随后为其开了宽频抗生素。</t>
  </si>
  <si>
    <t xml:space="preserve">宽频</t>
  </si>
  <si>
    <r>
      <rPr>
        <sz val="10"/>
        <rFont val="Arial"/>
        <family val="0"/>
        <charset val="1"/>
      </rPr>
      <t xml:space="preserve">[Mistranslation, major] Medical term 'broad-spectrum' (</t>
    </r>
    <r>
      <rPr>
        <sz val="10"/>
        <rFont val="Noto Sans CJK SC"/>
        <family val="2"/>
      </rPr>
      <t xml:space="preserve">广谱</t>
    </r>
    <r>
      <rPr>
        <sz val="10"/>
        <rFont val="Arial"/>
        <family val="0"/>
        <charset val="1"/>
      </rPr>
      <t xml:space="preserve">) rendered as 'broadband' (</t>
    </r>
    <r>
      <rPr>
        <sz val="10"/>
        <rFont val="Noto Sans CJK SC"/>
        <family val="2"/>
      </rPr>
      <t xml:space="preserve">宽频</t>
    </r>
    <r>
      <rPr>
        <sz val="10"/>
        <rFont val="Arial"/>
        <family val="0"/>
        <charset val="1"/>
      </rPr>
      <t xml:space="preserve">).</t>
    </r>
  </si>
  <si>
    <t xml:space="preserve">B::N_TERM1::traditional_char</t>
  </si>
  <si>
    <t xml:space="preserve">驗血結果顯示患者存在細菌感染，醫生隨後為其開了廣譜抗生素。</t>
  </si>
  <si>
    <t xml:space="preserve">B::N_TERM1::traditional_tw</t>
  </si>
  <si>
    <t xml:space="preserve">驗血結果顯示患者有細菌感染，醫師隨後為其開了廣效抗生素。</t>
  </si>
  <si>
    <t xml:space="preserve">B::S52_015::gold</t>
  </si>
  <si>
    <t xml:space="preserve">S52_015</t>
  </si>
  <si>
    <t xml:space="preserve">idiom</t>
  </si>
  <si>
    <t xml:space="preserve">It's not exactly rocket science, but it does take practice.</t>
  </si>
  <si>
    <t xml:space="preserve">这事并不算多难，但确实需要练习。</t>
  </si>
  <si>
    <r>
      <rPr>
        <sz val="10"/>
        <rFont val="Arial"/>
        <family val="0"/>
        <charset val="1"/>
      </rPr>
      <t xml:space="preserve">PROPOSED REFERENCE. Should be a fully correct, natural Mainland Mandarin translation. If anything is wrong or unnatural, write a corrected sentence in column Q - it will become the reference for every row of this source.  NOTE: The Sprint 52 original candidate (</t>
    </r>
    <r>
      <rPr>
        <sz val="10"/>
        <rFont val="Noto Sans CJK SC"/>
        <family val="2"/>
      </rPr>
      <t xml:space="preserve">这不完全是火箭科学</t>
    </r>
    <r>
      <rPr>
        <sz val="10"/>
        <rFont val="Arial"/>
        <family val="0"/>
        <charset val="1"/>
      </rPr>
      <t xml:space="preserve">) is a calque; some Chinese speakers also say </t>
    </r>
    <r>
      <rPr>
        <sz val="10"/>
        <rFont val="Noto Sans CJK SC"/>
        <family val="2"/>
      </rPr>
      <t xml:space="preserve">又不是造火箭 </t>
    </r>
    <r>
      <rPr>
        <sz val="10"/>
        <rFont val="Arial"/>
        <family val="0"/>
        <charset val="1"/>
      </rPr>
      <t xml:space="preserve">colloquially - reviewer, please comment on how acceptable the calque is.</t>
    </r>
  </si>
  <si>
    <t xml:space="preserve">B::S52_015::paraphrase</t>
  </si>
  <si>
    <t xml:space="preserve">这也不是什么高深的学问，不过的确得多加练习。</t>
  </si>
  <si>
    <t xml:space="preserve">B::S52_015::literal</t>
  </si>
  <si>
    <t xml:space="preserve">这并不是一件特别困难的事情，但是它确实需要练习。</t>
  </si>
  <si>
    <t xml:space="preserve">B::S52_015::fluent_wrong</t>
  </si>
  <si>
    <t xml:space="preserve">这事其实很难，而且需要练习。</t>
  </si>
  <si>
    <t xml:space="preserve">其实很难</t>
  </si>
  <si>
    <t xml:space="preserve">[Mistranslation, major] 'Not hard' becomes 'actually very hard'.</t>
  </si>
  <si>
    <t xml:space="preserve">B::S52_015::targeted_error</t>
  </si>
  <si>
    <t xml:space="preserve">这和火箭科学没什么关系，但确实需要练习。</t>
  </si>
  <si>
    <t xml:space="preserve">和火箭科学没什么关系</t>
  </si>
  <si>
    <t xml:space="preserve">[Mistranslation, major] Idiom read literally: 'this has nothing to do with rocket science'.</t>
  </si>
  <si>
    <t xml:space="preserve">B::S52_015::original_candidate</t>
  </si>
  <si>
    <t xml:space="preserve">这不完全是火箭科学,但确实需要练习。</t>
  </si>
  <si>
    <t xml:space="preserve">Existing Sprint 52 machine translation, not written for this sprint. We only need your quality band and any errors you see. Expected: Idiom 'rocket science' calqued; meaning partly conveyed.</t>
  </si>
  <si>
    <r>
      <rPr>
        <sz val="10"/>
        <rFont val="Noto Sans CJK SC"/>
        <family val="2"/>
      </rPr>
      <t xml:space="preserve">“火箭科学”作为 </t>
    </r>
    <r>
      <rPr>
        <sz val="10"/>
        <rFont val="Arial"/>
        <family val="0"/>
        <charset val="1"/>
      </rPr>
      <t xml:space="preserve">rocket science </t>
    </r>
    <r>
      <rPr>
        <sz val="10"/>
        <rFont val="Noto Sans CJK SC"/>
        <family val="2"/>
      </rPr>
      <t xml:space="preserve">的直译在当代大陆中文中可以理解；整体表达较生硬，因此为 </t>
    </r>
    <r>
      <rPr>
        <sz val="10"/>
        <rFont val="Arial"/>
        <family val="0"/>
        <charset val="1"/>
      </rPr>
      <t xml:space="preserve">moderate</t>
    </r>
    <r>
      <rPr>
        <sz val="10"/>
        <rFont val="Noto Sans CJK SC"/>
        <family val="2"/>
      </rPr>
      <t xml:space="preserve">。</t>
    </r>
  </si>
  <si>
    <t xml:space="preserve">B::S52_015::traditional_char</t>
  </si>
  <si>
    <t xml:space="preserve">這事並不算多難，但確實需要練習。</t>
  </si>
  <si>
    <t xml:space="preserve">B::S52_017::gold</t>
  </si>
  <si>
    <t xml:space="preserve">S52_017</t>
  </si>
  <si>
    <t xml:space="preserve">He let the cat out of the bag before the surprise party started.</t>
  </si>
  <si>
    <t xml:space="preserve">惊喜派对还没开始，他就把秘密说漏嘴了。</t>
  </si>
  <si>
    <t xml:space="preserve">B::S52_017::paraphrase</t>
  </si>
  <si>
    <t xml:space="preserve">他在惊喜派对开场前就走漏了风声。</t>
  </si>
  <si>
    <t xml:space="preserve">B::S52_017::literal</t>
  </si>
  <si>
    <t xml:space="preserve">他在惊喜派对开始之前就把秘密泄露了出来。</t>
  </si>
  <si>
    <t xml:space="preserve">B::S52_017::fluent_wrong</t>
  </si>
  <si>
    <t xml:space="preserve">惊喜派对结束后，他才把秘密说漏嘴。</t>
  </si>
  <si>
    <t xml:space="preserve">结束后</t>
  </si>
  <si>
    <t xml:space="preserve">[Mistranslation, major] 'Before the party started' becomes 'after the party ended'.</t>
  </si>
  <si>
    <t xml:space="preserve">B::S52_017::targeted_error</t>
  </si>
  <si>
    <t xml:space="preserve">惊喜派对还没开始，他就把事情搞砸了。</t>
  </si>
  <si>
    <t xml:space="preserve">把事情搞砸了</t>
  </si>
  <si>
    <t xml:space="preserve">[Mistranslation, major] Idiom misread as 'messed things up' instead of 'revealed the secret'.</t>
  </si>
  <si>
    <t xml:space="preserve">B::S52_017::original_candidate</t>
  </si>
  <si>
    <t xml:space="preserve">他在惊喜派对开始之前把猫放出了袋子。</t>
  </si>
  <si>
    <t xml:space="preserve">Existing Sprint 52 machine translation, not written for this sprint. We only need your quality band and any errors you see. Expected: Idiom translated literally ('released the cat from the bag'); meaning lost.</t>
  </si>
  <si>
    <r>
      <rPr>
        <sz val="10"/>
        <rFont val="Noto Sans CJK SC"/>
        <family val="2"/>
      </rPr>
      <t xml:space="preserve">“把猫放出了袋子” — 将习语 </t>
    </r>
    <r>
      <rPr>
        <sz val="10"/>
        <rFont val="Arial"/>
        <family val="0"/>
        <charset val="1"/>
      </rPr>
      <t xml:space="preserve">let the cat out of the bag </t>
    </r>
    <r>
      <rPr>
        <sz val="10"/>
        <rFont val="Noto Sans CJK SC"/>
        <family val="2"/>
      </rPr>
      <t xml:space="preserve">按字面翻译，遗漏了“泄露秘密”的含义。</t>
    </r>
  </si>
  <si>
    <t xml:space="preserve">他在惊喜派对开始之前就把秘密说漏嘴了。</t>
  </si>
  <si>
    <t xml:space="preserve">B::S52_017::traditional_char</t>
  </si>
  <si>
    <t xml:space="preserve">驚喜派對還沒開始，他就把秘密說漏嘴了。</t>
  </si>
  <si>
    <t xml:space="preserve">B::S52_019::gold</t>
  </si>
  <si>
    <t xml:space="preserve">S52_019</t>
  </si>
  <si>
    <t xml:space="preserve">Break a leg tonight — I know you'll nail the audition.</t>
  </si>
  <si>
    <t xml:space="preserve">今晚祝你好运！我知道你一定能在试镜中大放异彩。</t>
  </si>
  <si>
    <t xml:space="preserve">B::S52_019::paraphrase</t>
  </si>
  <si>
    <t xml:space="preserve">今晚好好表现，预祝成功——你的试镜肯定没问题。</t>
  </si>
  <si>
    <t xml:space="preserve">B::S52_019::literal</t>
  </si>
  <si>
    <t xml:space="preserve">今晚祝你好运——我知道你会成功地完成这次试镜。</t>
  </si>
  <si>
    <t xml:space="preserve">B::S52_019::fluent_wrong</t>
  </si>
  <si>
    <t xml:space="preserve">今晚祝你好运！我担心你的试镜会不太顺利。</t>
  </si>
  <si>
    <t xml:space="preserve">我担心你的试镜会不太顺利</t>
  </si>
  <si>
    <t xml:space="preserve">[Mistranslation, major] Confidence ('you'll nail it') becomes worry ('I'm afraid it won't go well').</t>
  </si>
  <si>
    <t xml:space="preserve">B::S52_019::targeted_error</t>
  </si>
  <si>
    <t xml:space="preserve">今晚小心别受伤！我知道你一定能在试镜中大放异彩。</t>
  </si>
  <si>
    <t xml:space="preserve">小心别受伤</t>
  </si>
  <si>
    <t xml:space="preserve">[Mistranslation, major] Idiom misread as a safety warning ('be careful not to get hurt').</t>
  </si>
  <si>
    <t xml:space="preserve">B::S52_019::original_candidate</t>
  </si>
  <si>
    <t xml:space="preserve">今晚祝你摔断腿——我知道你会在试镜中大获成功。</t>
  </si>
  <si>
    <t xml:space="preserve">Existing Sprint 52 machine translation, not written for this sprint. We only need your quality band and any errors you see. Expected: 'Break a leg' rendered as a literal wish to break a leg.</t>
  </si>
  <si>
    <r>
      <rPr>
        <sz val="10"/>
        <rFont val="Noto Sans CJK SC"/>
        <family val="2"/>
      </rPr>
      <t xml:space="preserve">“摔断腿” — 将 </t>
    </r>
    <r>
      <rPr>
        <sz val="10"/>
        <rFont val="Arial"/>
        <family val="0"/>
        <charset val="1"/>
      </rPr>
      <t xml:space="preserve">break a leg </t>
    </r>
    <r>
      <rPr>
        <sz val="10"/>
        <rFont val="Noto Sans CJK SC"/>
        <family val="2"/>
      </rPr>
      <t xml:space="preserve">按字面翻译，误解了祝好运的习语含义。</t>
    </r>
  </si>
  <si>
    <t xml:space="preserve">B::S52_019::traditional_char</t>
  </si>
  <si>
    <t xml:space="preserve">今晚祝你好運！我知道你一定能在試鏡中大放異彩。</t>
  </si>
  <si>
    <t xml:space="preserve">B::N_IDI1::gold</t>
  </si>
  <si>
    <t xml:space="preserve">N_IDI1</t>
  </si>
  <si>
    <t xml:space="preserve">After months of negotiations, the two companies finally decided to bury the hatchet.</t>
  </si>
  <si>
    <t xml:space="preserve">经过几个月的谈判，两家公司终于决定握手言和。</t>
  </si>
  <si>
    <t xml:space="preserve">B::N_IDI1::paraphrase</t>
  </si>
  <si>
    <t xml:space="preserve">双方公司谈了好几个月，最后总算冰释前嫌。</t>
  </si>
  <si>
    <t xml:space="preserve">B::N_IDI1::literal</t>
  </si>
  <si>
    <t xml:space="preserve">在几个月的谈判之后，这两家公司最终决定了和解。</t>
  </si>
  <si>
    <t xml:space="preserve">B::N_IDI1::fluent_wrong</t>
  </si>
  <si>
    <t xml:space="preserve">经过几个月的谈判，两家公司终于决定分道扬镳。</t>
  </si>
  <si>
    <t xml:space="preserve">分道扬镳</t>
  </si>
  <si>
    <t xml:space="preserve">[Mistranslation, major] 'Make peace' becomes 'part ways'.</t>
  </si>
  <si>
    <t xml:space="preserve">B::N_IDI1::targeted_error</t>
  </si>
  <si>
    <t xml:space="preserve">经过几个月的谈判，两家公司终于决定埋葬斧头。</t>
  </si>
  <si>
    <t xml:space="preserve">埋葬斧头</t>
  </si>
  <si>
    <t xml:space="preserve">[Mistranslation, major] Idiom translated word-for-word ('bury the axe'), meaningless in Chinese.</t>
  </si>
  <si>
    <t xml:space="preserve">B::N_IDI1::traditional_char</t>
  </si>
  <si>
    <t xml:space="preserve">經過幾個月的談判，兩家公司終於決定握手言和。</t>
  </si>
  <si>
    <t xml:space="preserve">B::N_IDI2::gold</t>
  </si>
  <si>
    <t xml:space="preserve">N_IDI2</t>
  </si>
  <si>
    <t xml:space="preserve">She's been feeling under the weather, so she'll work from home today.</t>
  </si>
  <si>
    <t xml:space="preserve">她最近身体不太舒服，所以今天在家办公。</t>
  </si>
  <si>
    <t xml:space="preserve">B::N_IDI2::paraphrase</t>
  </si>
  <si>
    <t xml:space="preserve">她这几天有点不舒服，今天就居家工作了。</t>
  </si>
  <si>
    <t xml:space="preserve">B::N_IDI2::literal</t>
  </si>
  <si>
    <t xml:space="preserve">她一直感觉身体不适，所以她今天将会从家里工作。</t>
  </si>
  <si>
    <t xml:space="preserve">B::N_IDI2::fluent_wrong</t>
  </si>
  <si>
    <t xml:space="preserve">她最近心情不太好，所以今天在家办公。</t>
  </si>
  <si>
    <t xml:space="preserve">心情不太好</t>
  </si>
  <si>
    <t xml:space="preserve">[Mistranslation, major] 'Unwell' becomes 'in a bad mood'.</t>
  </si>
  <si>
    <t xml:space="preserve">B::N_IDI2::targeted_error</t>
  </si>
  <si>
    <t xml:space="preserve">她最近被天气影响，所以今天在家办公。</t>
  </si>
  <si>
    <t xml:space="preserve">被天气影响</t>
  </si>
  <si>
    <t xml:space="preserve">[Mistranslation, major] Idiom read literally: 'affected by the weather'.</t>
  </si>
  <si>
    <t xml:space="preserve">B::N_IDI2::traditional_char</t>
  </si>
  <si>
    <t xml:space="preserve">她最近身體不太舒服，所以今天在家辦公。</t>
  </si>
  <si>
    <t xml:space="preserve">B::A_1779::gold</t>
  </si>
  <si>
    <t xml:space="preserve">A_1779</t>
  </si>
  <si>
    <t xml:space="preserve">culture</t>
  </si>
  <si>
    <t xml:space="preserve">For Australians, the idea of 'flat white' coffee is foreign. A short black is 'espresso', cappuccino comes heaped high with cream (not froth), and tea is served without milk.</t>
  </si>
  <si>
    <t xml:space="preserve">对澳大利亚人来说，“馥芮白”咖啡是个陌生的概念。小杯黑咖啡（short black）就是“意式浓缩”，卡布奇诺上面堆满了奶油（而不是奶泡），茶也是不加奶的。</t>
  </si>
  <si>
    <r>
      <rPr>
        <sz val="10"/>
        <rFont val="Arial"/>
        <family val="0"/>
        <charset val="1"/>
      </rPr>
      <t xml:space="preserve">PROPOSED REFERENCE. Should be a fully correct, natural Mainland Mandarin translation. If anything is wrong or unnatural, write a corrected sentence in column Q - it will become the reference for every row of this source.  NOTE: </t>
    </r>
    <r>
      <rPr>
        <sz val="10"/>
        <rFont val="Noto Sans CJK SC"/>
        <family val="2"/>
      </rPr>
      <t xml:space="preserve">馥芮白 </t>
    </r>
    <r>
      <rPr>
        <sz val="10"/>
        <rFont val="Arial"/>
        <family val="0"/>
        <charset val="1"/>
      </rPr>
      <t xml:space="preserve">(Starbucks China term) and </t>
    </r>
    <r>
      <rPr>
        <sz val="10"/>
        <rFont val="Noto Sans CJK SC"/>
        <family val="2"/>
      </rPr>
      <t xml:space="preserve">澳白 </t>
    </r>
    <r>
      <rPr>
        <sz val="10"/>
        <rFont val="Arial"/>
        <family val="0"/>
        <charset val="1"/>
      </rPr>
      <t xml:space="preserve">(common café term) are both used for 'flat white'; paraphrase deliberately uses the other one. The source sentence itself is odd (flat white is an Australian drink) - kept verbatim from FLORES/SiniticMTError.</t>
    </r>
  </si>
  <si>
    <t xml:space="preserve">B::A_1779::paraphrase</t>
  </si>
  <si>
    <t xml:space="preserve">在澳大利亚人眼里，“澳白”咖啡反倒是个外来的说法；在那里，short black指的就是意式浓缩，卡布奇诺顶上是厚厚一层奶油而非奶泡，茶则清饮，不放牛奶。</t>
  </si>
  <si>
    <t xml:space="preserve">B::A_1779::literal</t>
  </si>
  <si>
    <t xml:space="preserve">对于澳大利亚人，“馥芮白”咖啡的想法是外国的。一个小杯黑咖啡是“意式浓缩”，卡布奇诺来的时候堆得高高的有奶油（不是泡沫），并且茶被端上来的时候没有牛奶。</t>
  </si>
  <si>
    <t xml:space="preserve">B::A_1779::fluent_wrong</t>
  </si>
  <si>
    <t xml:space="preserve">对澳大利亚人来说，“馥芮白”咖啡是个陌生的概念。小杯黑咖啡（short black）就是“意式浓缩”，卡布奇诺上面堆满了奶油（而不是奶泡），茶也总是配着牛奶上。</t>
  </si>
  <si>
    <t xml:space="preserve">总是配着牛奶上</t>
  </si>
  <si>
    <t xml:space="preserve">[Mistranslation, major] Tea 'without milk' becomes 'always served with milk'.</t>
  </si>
  <si>
    <t xml:space="preserve">B::A_1779::targeted_error</t>
  </si>
  <si>
    <t xml:space="preserve">对澳大利亚人来说，“平白”咖啡是个陌生的概念。小杯黑咖啡（short black）就是“意式浓缩”，卡布奇诺上面堆满了奶油（而不是奶泡），茶也是不加奶的。</t>
  </si>
  <si>
    <t xml:space="preserve">平白</t>
  </si>
  <si>
    <r>
      <rPr>
        <sz val="10"/>
        <rFont val="Arial"/>
        <family val="0"/>
        <charset val="1"/>
      </rPr>
      <t xml:space="preserve">[Mistranslation, major] 'Flat white' calqued as </t>
    </r>
    <r>
      <rPr>
        <sz val="10"/>
        <rFont val="Noto Sans CJK SC"/>
        <family val="2"/>
      </rPr>
      <t xml:space="preserve">平白 </t>
    </r>
    <r>
      <rPr>
        <sz val="10"/>
        <rFont val="Arial"/>
        <family val="0"/>
        <charset val="1"/>
      </rPr>
      <t xml:space="preserve">(which means 'for no reason') - same error as the Sprint 50 MT output.</t>
    </r>
  </si>
  <si>
    <t xml:space="preserve">B::A_1779::traditional_char</t>
  </si>
  <si>
    <t xml:space="preserve">對澳大利亞人來說，“馥芮白”咖啡是個陌生的概念。小杯黑咖啡（short black）就是“意式濃縮”，卡布奇諾上面堆滿了奶油（而不是奶泡），茶也是不加奶的。</t>
  </si>
  <si>
    <t xml:space="preserve">B::A_1779::traditional_tw</t>
  </si>
  <si>
    <t xml:space="preserve">對澳洲人來說，「馥芮白」咖啡是個陌生的概念。小杯黑咖啡（short black）就是「義式濃縮」，卡布奇諾上面堆滿了奶油（而不是奶泡），茶也是不加奶的。</t>
  </si>
  <si>
    <t xml:space="preserve">B::N_CUL1::gold</t>
  </si>
  <si>
    <t xml:space="preserve">N_CUL1</t>
  </si>
  <si>
    <t xml:space="preserve">We're having turkey and pumpkin pie for Thanksgiving, just like every year.</t>
  </si>
  <si>
    <t xml:space="preserve">和往年一样，我们感恩节要吃火鸡和南瓜派。</t>
  </si>
  <si>
    <t xml:space="preserve">B::N_CUL1::paraphrase</t>
  </si>
  <si>
    <t xml:space="preserve">今年感恩节照旧，餐桌上少不了火鸡和南瓜派。</t>
  </si>
  <si>
    <t xml:space="preserve">B::N_CUL1::literal</t>
  </si>
  <si>
    <t xml:space="preserve">我们将要为了感恩节吃火鸡和南瓜派，就像每一年一样。</t>
  </si>
  <si>
    <t xml:space="preserve">B::N_CUL1::padded</t>
  </si>
  <si>
    <t xml:space="preserve">就和以往的每一年都一样，在感恩节这一天，我们还是会吃火鸡以及南瓜派。</t>
  </si>
  <si>
    <t xml:space="preserve">B::N_CUL1::fluent_wrong</t>
  </si>
  <si>
    <t xml:space="preserve">和往年不同，我们感恩节要吃火鸡和南瓜派。</t>
  </si>
  <si>
    <t xml:space="preserve">和往年不同</t>
  </si>
  <si>
    <t xml:space="preserve">[Mistranslation, major] 'Just like every year' becomes 'unlike previous years'.</t>
  </si>
  <si>
    <t xml:space="preserve">B::N_CUL1::targeted_error</t>
  </si>
  <si>
    <t xml:space="preserve">和往年一样，我们中秋节要吃火鸡和南瓜派。</t>
  </si>
  <si>
    <t xml:space="preserve">中秋节</t>
  </si>
  <si>
    <t xml:space="preserve">[Mistranslation, major] Over-localisation: Thanksgiving replaced by Mid-Autumn Festival.</t>
  </si>
  <si>
    <t xml:space="preserve">B::N_CUL1::traditional_char</t>
  </si>
  <si>
    <t xml:space="preserve">和往年一樣，我們感恩節要吃火雞和南瓜派。</t>
  </si>
  <si>
    <t xml:space="preserve">B::N_CUL2::gold</t>
  </si>
  <si>
    <t xml:space="preserve">N_CUL2</t>
  </si>
  <si>
    <t xml:space="preserve">He sat for the SATs twice before getting into college.</t>
  </si>
  <si>
    <t xml:space="preserve">他考了两次SAT才上了大学。</t>
  </si>
  <si>
    <t xml:space="preserve">B::N_CUL2::paraphrase</t>
  </si>
  <si>
    <t xml:space="preserve">他参加过两回美国大学入学考试（SAT），之后才被大学录取。</t>
  </si>
  <si>
    <t xml:space="preserve">B::N_CUL2::literal</t>
  </si>
  <si>
    <t xml:space="preserve">在进入大学之前，他参加了SAT考试两次。</t>
  </si>
  <si>
    <t xml:space="preserve">B::N_CUL2::fluent_wrong</t>
  </si>
  <si>
    <t xml:space="preserve">他考了两次SAT都没能上大学。</t>
  </si>
  <si>
    <t xml:space="preserve">都没能上大学</t>
  </si>
  <si>
    <t xml:space="preserve">[Mistranslation, major] 'Before getting into college' becomes 'still didn't get into college'.</t>
  </si>
  <si>
    <t xml:space="preserve">B::N_CUL2::targeted_error</t>
  </si>
  <si>
    <t xml:space="preserve">他考了两次高考才上了大学。</t>
  </si>
  <si>
    <t xml:space="preserve">高考</t>
  </si>
  <si>
    <t xml:space="preserve">[Mistranslation, major] Over-localisation: SAT replaced by China's gaokao.</t>
  </si>
  <si>
    <t xml:space="preserve">B::N_CUL3::gold</t>
  </si>
  <si>
    <t xml:space="preserve">N_CUL3</t>
  </si>
  <si>
    <t xml:space="preserve">The store is having a Black Friday sale, with everything 40% off.</t>
  </si>
  <si>
    <t xml:space="preserve">这家店正在搞黑色星期五促销，全场六折。</t>
  </si>
  <si>
    <t xml:space="preserve">B::N_CUL3::paraphrase</t>
  </si>
  <si>
    <t xml:space="preserve">黑五期间，这家商店所有商品一律打六折。</t>
  </si>
  <si>
    <t xml:space="preserve">B::N_CUL3::literal</t>
  </si>
  <si>
    <t xml:space="preserve">这家商店正在举行一个黑色星期五的销售，所有东西都减价40%。</t>
  </si>
  <si>
    <t xml:space="preserve">B::N_CUL3::fluent_wrong</t>
  </si>
  <si>
    <t xml:space="preserve">这家店正在搞黑色星期五促销，部分商品六折。</t>
  </si>
  <si>
    <t xml:space="preserve">部分商品</t>
  </si>
  <si>
    <t xml:space="preserve">[Mistranslation, major] 'Everything' becomes 'some items'.</t>
  </si>
  <si>
    <t xml:space="preserve">B::N_CUL3::targeted_error</t>
  </si>
  <si>
    <t xml:space="preserve">这家店正在搞黑色星期五促销，全场四折。</t>
  </si>
  <si>
    <t xml:space="preserve">四折</t>
  </si>
  <si>
    <r>
      <rPr>
        <sz val="10"/>
        <rFont val="Arial"/>
        <family val="0"/>
        <charset val="1"/>
      </rPr>
      <t xml:space="preserve">[Mistranslation, major] Discount convention error: '40% off' = </t>
    </r>
    <r>
      <rPr>
        <sz val="10"/>
        <rFont val="Noto Sans CJK SC"/>
        <family val="2"/>
      </rPr>
      <t xml:space="preserve">六折 </t>
    </r>
    <r>
      <rPr>
        <sz val="10"/>
        <rFont val="Arial"/>
        <family val="0"/>
        <charset val="1"/>
      </rPr>
      <t xml:space="preserve">(pay 60%); </t>
    </r>
    <r>
      <rPr>
        <sz val="10"/>
        <rFont val="Noto Sans CJK SC"/>
        <family val="2"/>
      </rPr>
      <t xml:space="preserve">四折 </t>
    </r>
    <r>
      <rPr>
        <sz val="10"/>
        <rFont val="Arial"/>
        <family val="0"/>
        <charset val="1"/>
      </rPr>
      <t xml:space="preserve">means pay 40% (60% off).</t>
    </r>
  </si>
  <si>
    <t xml:space="preserve">B::N_CUL3::traditional_char</t>
  </si>
  <si>
    <t xml:space="preserve">這家店正在搞黑色星期五促銷，全場六折。</t>
  </si>
  <si>
    <t xml:space="preserve">B::N_CUL3::traditional_tw</t>
  </si>
  <si>
    <t xml:space="preserve">這家店正在辦黑色星期五特賣，全館六折。</t>
  </si>
  <si>
    <t xml:space="preserve">B::N_CUL4::gold</t>
  </si>
  <si>
    <t xml:space="preserve">N_CUL4</t>
  </si>
  <si>
    <t xml:space="preserve">Don't forget to tip the waiter; 20% is standard here.</t>
  </si>
  <si>
    <t xml:space="preserve">别忘了给服务员小费，这里一般给20%。</t>
  </si>
  <si>
    <t xml:space="preserve">B::N_CUL4::paraphrase</t>
  </si>
  <si>
    <t xml:space="preserve">记得给服务生留小费，在这儿按惯例是两成。</t>
  </si>
  <si>
    <t xml:space="preserve">B::N_CUL4::literal</t>
  </si>
  <si>
    <t xml:space="preserve">不要忘记给服务员小费；20%在这里是标准的。</t>
  </si>
  <si>
    <t xml:space="preserve">B::N_CUL4::fluent_wrong</t>
  </si>
  <si>
    <t xml:space="preserve">别忘了给服务员小费，这里最多给20%。</t>
  </si>
  <si>
    <t xml:space="preserve">最多</t>
  </si>
  <si>
    <t xml:space="preserve">[Mistranslation, major] 'Standard' becomes 'at most'.</t>
  </si>
  <si>
    <t xml:space="preserve">B::N_CUL4::targeted_error</t>
  </si>
  <si>
    <t xml:space="preserve">别忘了给服务员提示，这里一般给20%。</t>
  </si>
  <si>
    <t xml:space="preserve">提示</t>
  </si>
  <si>
    <r>
      <rPr>
        <sz val="10"/>
        <rFont val="Arial"/>
        <family val="0"/>
        <charset val="1"/>
      </rPr>
      <t xml:space="preserve">[Mistranslation, major] 'Tip' (gratuity) rendered as 'hint' (</t>
    </r>
    <r>
      <rPr>
        <sz val="10"/>
        <rFont val="Noto Sans CJK SC"/>
        <family val="2"/>
      </rPr>
      <t xml:space="preserve">提示</t>
    </r>
    <r>
      <rPr>
        <sz val="10"/>
        <rFont val="Arial"/>
        <family val="0"/>
        <charset val="1"/>
      </rPr>
      <t xml:space="preserve">).</t>
    </r>
  </si>
  <si>
    <t xml:space="preserve">B::N_CUL4::traditional_char</t>
  </si>
  <si>
    <t xml:space="preserve">別忘了給服務員小費，這裡一般給20%。</t>
  </si>
  <si>
    <t xml:space="preserve">B::N_CUL4::traditional_tw</t>
  </si>
  <si>
    <t xml:space="preserve">別忘了給服務生小費，這裡一般給20%。</t>
  </si>
  <si>
    <t xml:space="preserve">B::S52_018::gold</t>
  </si>
  <si>
    <t xml:space="preserve">S52_018</t>
  </si>
  <si>
    <t xml:space="preserve">ambiguity_context</t>
  </si>
  <si>
    <t xml:space="preserve">The bank on the corner is closed for renovations, so I couldn't deposit the check by the river.</t>
  </si>
  <si>
    <t xml:space="preserve">河边街角的那家银行正在装修，暂停营业，所以我没能存那张支票。</t>
  </si>
  <si>
    <t xml:space="preserve">PROPOSED REFERENCE. Should be a fully correct, natural Mainland Mandarin translation. If anything is wrong or unnatural, write a corrected sentence in column Q - it will become the reference for every row of this source.  NOTE: The source has an attachment ambiguity: 'by the river' can attach to the bank or to depositing. Gold attaches it to the bank; literal keeps the surface attachment. Reviewer: please say if you read it differently.</t>
  </si>
  <si>
    <t xml:space="preserve">B::S52_018::paraphrase</t>
  </si>
  <si>
    <t xml:space="preserve">由于街角靠河的那家银行关门装修，我那张支票没存成。</t>
  </si>
  <si>
    <t xml:space="preserve">B::S52_018::literal</t>
  </si>
  <si>
    <t xml:space="preserve">在角落上的银行因为装修而关闭，所以我不能在河边存入那张支票。</t>
  </si>
  <si>
    <t xml:space="preserve">B::S52_018::fluent_wrong</t>
  </si>
  <si>
    <t xml:space="preserve">河边街角的那家银行正在装修，暂停营业，所以我没能兑现那张支票。</t>
  </si>
  <si>
    <t xml:space="preserve">兑现</t>
  </si>
  <si>
    <t xml:space="preserve">[Mistranslation, major] 'Deposit' the check becomes 'cash' the check.</t>
  </si>
  <si>
    <t xml:space="preserve">B::S52_018::targeted_error</t>
  </si>
  <si>
    <t xml:space="preserve">河边街角的那家银行正在装修，暂停营业，所以我没能存那张账单。</t>
  </si>
  <si>
    <t xml:space="preserve">账单</t>
  </si>
  <si>
    <t xml:space="preserve">[Mistranslation, major] 'Check' read in the other sense ('restaurant bill').</t>
  </si>
  <si>
    <t xml:space="preserve">B::S52_018::original_candidate</t>
  </si>
  <si>
    <t xml:space="preserve">拐角的河岸正在装修,所以我没能把支票存到河边。</t>
  </si>
  <si>
    <t xml:space="preserve">Existing Sprint 52 machine translation, not written for this sprint. We only need your quality band and any errors you see. Expected: 'Bank' rendered as riverbank twice; sentence incoherent.</t>
  </si>
  <si>
    <r>
      <rPr>
        <sz val="10"/>
        <rFont val="Noto Sans CJK SC"/>
        <family val="2"/>
      </rPr>
      <t xml:space="preserve">“拐角的河岸正在装修” — 把 </t>
    </r>
    <r>
      <rPr>
        <sz val="10"/>
        <rFont val="Arial"/>
        <family val="0"/>
        <charset val="1"/>
      </rPr>
      <t xml:space="preserve">bank on the corner </t>
    </r>
    <r>
      <rPr>
        <sz val="10"/>
        <rFont val="Noto Sans CJK SC"/>
        <family val="2"/>
      </rPr>
      <t xml:space="preserve">误译成“河岸”；“把支票存到河边”也错误地改变了存款地点。</t>
    </r>
  </si>
  <si>
    <t xml:space="preserve">B::S52_018::traditional_char</t>
  </si>
  <si>
    <t xml:space="preserve">河邊街角的那家銀行正在裝修，暫停營業，所以我沒能存那張支票。</t>
  </si>
  <si>
    <t xml:space="preserve">B::S52_018::traditional_tw</t>
  </si>
  <si>
    <t xml:space="preserve">河邊街角的那家銀行正在整修，暫停營業，所以我沒能存那張支票。</t>
  </si>
  <si>
    <t xml:space="preserve">B::N_AMB1::gold</t>
  </si>
  <si>
    <t xml:space="preserve">N_AMB1</t>
  </si>
  <si>
    <t xml:space="preserve">The pitcher was full, so she poured the extra lemonade into a glass.</t>
  </si>
  <si>
    <t xml:space="preserve">水壶已经满了，所以她把多出来的柠檬水倒进了一个玻璃杯里。</t>
  </si>
  <si>
    <t xml:space="preserve">B::N_AMB1::paraphrase</t>
  </si>
  <si>
    <t xml:space="preserve">壶里装不下了，她就把剩下的柠檬水倒到杯子里。</t>
  </si>
  <si>
    <t xml:space="preserve">B::N_AMB1::literal</t>
  </si>
  <si>
    <t xml:space="preserve">那个水罐是满的，所以她把额外的柠檬水倒进了一个玻璃杯。</t>
  </si>
  <si>
    <t xml:space="preserve">B::N_AMB1::padded</t>
  </si>
  <si>
    <t xml:space="preserve">因为水壶里面已经装满了，所以她就把多出来的那些柠檬水倒进了一个玻璃杯之中。</t>
  </si>
  <si>
    <t xml:space="preserve">B::N_AMB1::fluent_wrong</t>
  </si>
  <si>
    <t xml:space="preserve">水壶已经空了，所以她把多出来的柠檬水倒进了一个玻璃杯里。</t>
  </si>
  <si>
    <t xml:space="preserve">空了</t>
  </si>
  <si>
    <t xml:space="preserve">[Mistranslation, major] 'Full' becomes 'empty'.</t>
  </si>
  <si>
    <t xml:space="preserve">B::N_AMB1::targeted_error</t>
  </si>
  <si>
    <t xml:space="preserve">投手已经吃饱了，所以她把多出来的柠檬水倒进了一个玻璃杯里。</t>
  </si>
  <si>
    <t xml:space="preserve">投手已经吃饱了</t>
  </si>
  <si>
    <t xml:space="preserve">[Mistranslation, major] 'Pitcher' read as the baseball player and 'full' as 'full from eating'.</t>
  </si>
  <si>
    <t xml:space="preserve">B::N_AMB1::traditional_char</t>
  </si>
  <si>
    <t xml:space="preserve">水壺已經滿了，所以她把多出來的檸檬水倒進了一個玻璃杯裡。</t>
  </si>
  <si>
    <t xml:space="preserve">B::N_AMB2::gold</t>
  </si>
  <si>
    <t xml:space="preserve">N_AMB2</t>
  </si>
  <si>
    <t xml:space="preserve">Can you run the numbers before the meeting? The client wants a quote by Friday.</t>
  </si>
  <si>
    <t xml:space="preserve">你能在开会前把数据算一下吗？客户希望周五前拿到报价。</t>
  </si>
  <si>
    <t xml:space="preserve">B::N_AMB2::paraphrase</t>
  </si>
  <si>
    <t xml:space="preserve">开会之前麻烦你核算一下这些数字，客户要求周五之前给出报价。</t>
  </si>
  <si>
    <t xml:space="preserve">B::N_AMB2::literal</t>
  </si>
  <si>
    <t xml:space="preserve">你能够在会议之前计算这些数字吗？那个客户想要在星期五之前得到一个报价。</t>
  </si>
  <si>
    <t xml:space="preserve">B::N_AMB2::fluent_wrong</t>
  </si>
  <si>
    <t xml:space="preserve">你能在开会前把数据算一下吗？客户希望周五后拿到报价。</t>
  </si>
  <si>
    <t xml:space="preserve">周五后</t>
  </si>
  <si>
    <t xml:space="preserve">[Mistranslation, major] 'By Friday' becomes 'after Friday'.</t>
  </si>
  <si>
    <t xml:space="preserve">B::N_AMB2::targeted_error</t>
  </si>
  <si>
    <t xml:space="preserve">你能在开会前把数据算一下吗？客户希望周五前拿到一段引言。</t>
  </si>
  <si>
    <t xml:space="preserve">一段引言</t>
  </si>
  <si>
    <t xml:space="preserve">[Mistranslation, major] 'Quote' (price quotation) read as 'a quotation/citation'.</t>
  </si>
  <si>
    <t xml:space="preserve">B::N_AMB3::gold</t>
  </si>
  <si>
    <t xml:space="preserve">N_AMB3</t>
  </si>
  <si>
    <t xml:space="preserve">He left his glasses on the table and couldn't read the menu.</t>
  </si>
  <si>
    <t xml:space="preserve">他把眼镜落在桌上了，所以看不清菜单。</t>
  </si>
  <si>
    <t xml:space="preserve">B::N_AMB3::paraphrase</t>
  </si>
  <si>
    <t xml:space="preserve">眼镜忘在桌子上，他连菜单都看不了。</t>
  </si>
  <si>
    <t xml:space="preserve">B::N_AMB3::literal</t>
  </si>
  <si>
    <t xml:space="preserve">他把他的眼镜留在了桌子上，并且不能阅读菜单。</t>
  </si>
  <si>
    <t xml:space="preserve">B::N_AMB3::fluent_wrong</t>
  </si>
  <si>
    <t xml:space="preserve">他把眼镜落在桌上了，所以看不清地图。</t>
  </si>
  <si>
    <t xml:space="preserve">地图</t>
  </si>
  <si>
    <t xml:space="preserve">[Mistranslation, major] 'Menu' becomes 'map'.</t>
  </si>
  <si>
    <t xml:space="preserve">B::N_AMB3::targeted_error</t>
  </si>
  <si>
    <t xml:space="preserve">他把玻璃杯落在桌上了，所以看不清菜单。</t>
  </si>
  <si>
    <t xml:space="preserve">玻璃杯</t>
  </si>
  <si>
    <t xml:space="preserve">[Mistranslation, major] 'Glasses' (spectacles) read as 'drinking glasses'.</t>
  </si>
  <si>
    <t xml:space="preserve">B::N_AMB3::traditional_char</t>
  </si>
  <si>
    <t xml:space="preserve">他把眼鏡落在桌上了，所以看不清菜單。</t>
  </si>
  <si>
    <t xml:space="preserve">B::N_AMB4::gold</t>
  </si>
  <si>
    <t xml:space="preserve">N_AMB4</t>
  </si>
  <si>
    <t xml:space="preserve">The match was postponed because the field was flooded.</t>
  </si>
  <si>
    <t xml:space="preserve">由于球场被水淹了，比赛延期了。</t>
  </si>
  <si>
    <t xml:space="preserve">B::N_AMB4::paraphrase</t>
  </si>
  <si>
    <t xml:space="preserve">场地积水严重，这场比赛只好改期。</t>
  </si>
  <si>
    <t xml:space="preserve">B::N_AMB4::literal</t>
  </si>
  <si>
    <t xml:space="preserve">比赛被推迟了，因为场地被淹了。</t>
  </si>
  <si>
    <t xml:space="preserve">B::N_AMB4::fluent_wrong</t>
  </si>
  <si>
    <t xml:space="preserve">由于球场被水淹了，比赛取消了。</t>
  </si>
  <si>
    <t xml:space="preserve">取消了</t>
  </si>
  <si>
    <t xml:space="preserve">[Mistranslation, major] 'Postponed' becomes 'cancelled'.</t>
  </si>
  <si>
    <t xml:space="preserve">B::N_AMB4::targeted_error</t>
  </si>
  <si>
    <t xml:space="preserve">由于农田被水淹了，比赛延期了。</t>
  </si>
  <si>
    <t xml:space="preserve">农田</t>
  </si>
  <si>
    <t xml:space="preserve">[Mistranslation, major] 'Field' (pitch) read as 'farmland'.</t>
  </si>
  <si>
    <t xml:space="preserve">B::S52_014::gold</t>
  </si>
  <si>
    <t xml:space="preserve">S52_014</t>
  </si>
  <si>
    <t xml:space="preserve">register</t>
  </si>
  <si>
    <t xml:space="preserve">The new policy will take effect next Monday, pending final approval.</t>
  </si>
  <si>
    <t xml:space="preserve">新政策待最终批准后，将于下周一生效。</t>
  </si>
  <si>
    <t xml:space="preserve">B::S52_014::paraphrase</t>
  </si>
  <si>
    <t xml:space="preserve">如获最终审批通过，这项新政将从下周一起开始实施。</t>
  </si>
  <si>
    <t xml:space="preserve">B::S52_014::literal</t>
  </si>
  <si>
    <t xml:space="preserve">新的政策将会在下个星期一生效，等待最终的批准。</t>
  </si>
  <si>
    <t xml:space="preserve">B::S52_014::fluent_wrong</t>
  </si>
  <si>
    <t xml:space="preserve">新政策已获最终批准，将于下周一生效。</t>
  </si>
  <si>
    <t xml:space="preserve">已获最终批准</t>
  </si>
  <si>
    <t xml:space="preserve">[Mistranslation, major] 'Pending approval' becomes 'already approved'.</t>
  </si>
  <si>
    <t xml:space="preserve">B::S52_014::targeted_error</t>
  </si>
  <si>
    <t xml:space="preserve">新规矩下礼拜一就管用了，就等上头最后点头。</t>
  </si>
  <si>
    <t xml:space="preserve">新规矩下礼拜一就管用了</t>
  </si>
  <si>
    <t xml:space="preserve">[Style/Register, minor] Meaning kept, but an official announcement is rendered in very colloquial speech.</t>
  </si>
  <si>
    <t xml:space="preserve">minor</t>
  </si>
  <si>
    <t xml:space="preserve">B::S52_014::original_candidate</t>
  </si>
  <si>
    <t xml:space="preserve">新政策将于下周一生效。</t>
  </si>
  <si>
    <t xml:space="preserve">Existing Sprint 52 machine translation, not written for this sprint. We only need your quality band and any errors you see. Expected: Omission of 'pending final approval' changes the legal meaning.</t>
  </si>
  <si>
    <r>
      <rPr>
        <sz val="10"/>
        <rFont val="Noto Sans CJK SC"/>
        <family val="2"/>
      </rPr>
      <t xml:space="preserve">“新政策将于下周一生效” — 漏掉了 </t>
    </r>
    <r>
      <rPr>
        <sz val="10"/>
        <rFont val="Arial"/>
        <family val="0"/>
        <charset val="1"/>
      </rPr>
      <t xml:space="preserve">pending final approval</t>
    </r>
    <r>
      <rPr>
        <sz val="10"/>
        <rFont val="Noto Sans CJK SC"/>
        <family val="2"/>
      </rPr>
      <t xml:space="preserve">（尚待最终批准）的条件。</t>
    </r>
  </si>
  <si>
    <t xml:space="preserve">B::S52_014::traditional_char</t>
  </si>
  <si>
    <t xml:space="preserve">新政策待最終批准後，將於下週一生效。</t>
  </si>
  <si>
    <t xml:space="preserve">B::S52_016::gold</t>
  </si>
  <si>
    <t xml:space="preserve">S52_016</t>
  </si>
  <si>
    <t xml:space="preserve">The committee postponed the vote until further notice.</t>
  </si>
  <si>
    <t xml:space="preserve">委员会宣布推迟表决，具体时间另行通知。</t>
  </si>
  <si>
    <t xml:space="preserve">B::S52_016::paraphrase</t>
  </si>
  <si>
    <t xml:space="preserve">表决已被委员会暂缓，何时举行将另行通知。</t>
  </si>
  <si>
    <t xml:space="preserve">B::S52_016::literal</t>
  </si>
  <si>
    <t xml:space="preserve">委员会把投票推迟了直到进一步的通知。</t>
  </si>
  <si>
    <t xml:space="preserve">B::S52_016::fluent_wrong</t>
  </si>
  <si>
    <t xml:space="preserve">委员会宣布将表决推迟到下周进行。</t>
  </si>
  <si>
    <t xml:space="preserve">推迟到下周</t>
  </si>
  <si>
    <t xml:space="preserve">[Mistranslation, major] 'Until further notice' becomes 'until next week'.</t>
  </si>
  <si>
    <t xml:space="preserve">B::S52_016::targeted_error</t>
  </si>
  <si>
    <t xml:space="preserve">委员会说投票的事先放放，啥时候再弄等通知吧。</t>
  </si>
  <si>
    <t xml:space="preserve">啥时候再弄等通知吧</t>
  </si>
  <si>
    <t xml:space="preserve">[Style/Register, minor] Meaning kept, but formal notice rendered in casual speech.</t>
  </si>
  <si>
    <t xml:space="preserve">B::S52_016::original_candidate</t>
  </si>
  <si>
    <t xml:space="preserve">委员会将投票推迟,直到另行通知。</t>
  </si>
  <si>
    <t xml:space="preserve">B::S52_020::gold</t>
  </si>
  <si>
    <t xml:space="preserve">S52_020</t>
  </si>
  <si>
    <t xml:space="preserve">The CFO's remarks were, to put it mildly, a bit disingenuous.</t>
  </si>
  <si>
    <t xml:space="preserve">说得客气一点，首席财务官的那番话有些言不由衷。</t>
  </si>
  <si>
    <t xml:space="preserve">Partly</t>
  </si>
  <si>
    <t xml:space="preserve">说得客气一点，首席财务官的那番话不太坦诚。</t>
  </si>
  <si>
    <t xml:space="preserve">“言不由衷”可以；“不太坦诚”更贴近这里的语境，也更自然。</t>
  </si>
  <si>
    <t xml:space="preserve">B::S52_020::paraphrase</t>
  </si>
  <si>
    <t xml:space="preserve">首席财务官的发言，委婉地说，不太坦诚。</t>
  </si>
  <si>
    <t xml:space="preserve">B::S52_020::literal</t>
  </si>
  <si>
    <t xml:space="preserve">首席财务官的言论是，委婉地说，有一点不诚恳的。</t>
  </si>
  <si>
    <t xml:space="preserve">B::S52_020::fluent_wrong</t>
  </si>
  <si>
    <t xml:space="preserve">说得客气一点，首席财务官的那番话十分坦率。</t>
  </si>
  <si>
    <t xml:space="preserve">十分坦率</t>
  </si>
  <si>
    <t xml:space="preserve">[Mistranslation, major] 'Disingenuous' becomes 'very candid'.</t>
  </si>
  <si>
    <t xml:space="preserve">B::S52_020::targeted_error</t>
  </si>
  <si>
    <t xml:space="preserve">说白了，那个管钱的老总就是在忽悠人。</t>
  </si>
  <si>
    <t xml:space="preserve">那个管钱的老总就是在忽悠人</t>
  </si>
  <si>
    <t xml:space="preserve">[Style/Register, major] Hedged, formal criticism becomes blunt slang; the hedge 'to put it mildly' is lost (tone reversal).</t>
  </si>
  <si>
    <t xml:space="preserve">B::S52_020::original_candidate</t>
  </si>
  <si>
    <t xml:space="preserve">首席财务官的言论,说得委婉一点,有点不诚恳。</t>
  </si>
  <si>
    <r>
      <rPr>
        <sz val="10"/>
        <rFont val="Arial"/>
        <family val="0"/>
        <charset val="1"/>
      </rPr>
      <t xml:space="preserve">Existing Sprint 52 machine translation, not written for this sprint. We only need your quality band and any errors you see. Expected: Faithful; </t>
    </r>
    <r>
      <rPr>
        <sz val="10"/>
        <rFont val="Noto Sans CJK SC"/>
        <family val="2"/>
      </rPr>
      <t xml:space="preserve">不诚恳 </t>
    </r>
    <r>
      <rPr>
        <sz val="10"/>
        <rFont val="Arial"/>
        <family val="0"/>
        <charset val="1"/>
      </rPr>
      <t xml:space="preserve">is slightly plain for 'disingenuous'.</t>
    </r>
  </si>
  <si>
    <t xml:space="preserve">B::S52_020::traditional_char</t>
  </si>
  <si>
    <t xml:space="preserve">說得客氣一點，首席財務官的那番話有些言不由衷。</t>
  </si>
  <si>
    <t xml:space="preserve">B::S52_020::traditional_tw</t>
  </si>
  <si>
    <t xml:space="preserve">說得客氣一點，財務長的那番話有些言不由衷。</t>
  </si>
  <si>
    <t xml:space="preserve">B::N_REG1::gold</t>
  </si>
  <si>
    <t xml:space="preserve">N_REG1</t>
  </si>
  <si>
    <t xml:space="preserve">We regret to inform you that your application has not been successful.</t>
  </si>
  <si>
    <t xml:space="preserve">很遗憾地通知您，您的申请未获通过。</t>
  </si>
  <si>
    <t xml:space="preserve">B::N_REG1::paraphrase</t>
  </si>
  <si>
    <t xml:space="preserve">我们很遗憾地告知，您此次的申请未能通过。</t>
  </si>
  <si>
    <t xml:space="preserve">B::N_REG1::literal</t>
  </si>
  <si>
    <t xml:space="preserve">我们感到遗憾地告知你，你的申请没有成功。</t>
  </si>
  <si>
    <t xml:space="preserve">B::N_REG1::fluent_wrong</t>
  </si>
  <si>
    <t xml:space="preserve">很高兴地通知您，您的申请未获通过。</t>
  </si>
  <si>
    <t xml:space="preserve">很高兴</t>
  </si>
  <si>
    <t xml:space="preserve">[Mistranslation, major] 'Regret' becomes 'are pleased'.</t>
  </si>
  <si>
    <t xml:space="preserve">B::N_REG1::targeted_error</t>
  </si>
  <si>
    <t xml:space="preserve">跟你说一声，你的申请没戏了。</t>
  </si>
  <si>
    <t xml:space="preserve">你的申请没戏了</t>
  </si>
  <si>
    <t xml:space="preserve">[Style/Register, major] Formal rejection letter rendered as slang.</t>
  </si>
  <si>
    <t xml:space="preserve">B::N_REG1::traditional_char</t>
  </si>
  <si>
    <t xml:space="preserve">很遺憾地通知您，您的申請未獲通過。</t>
  </si>
  <si>
    <t xml:space="preserve">B::N_REG2::gold</t>
  </si>
  <si>
    <t xml:space="preserve">N_REG2</t>
  </si>
  <si>
    <t xml:space="preserve">Hey, you up? Wanna grab some food?</t>
  </si>
  <si>
    <t xml:space="preserve">嘿，醒着没？要不要一起去吃点东西？</t>
  </si>
  <si>
    <t xml:space="preserve">B::N_REG2::paraphrase</t>
  </si>
  <si>
    <t xml:space="preserve">在吗？出去吃点啥不？</t>
  </si>
  <si>
    <t xml:space="preserve">B::N_REG2::literal</t>
  </si>
  <si>
    <t xml:space="preserve">嘿，你起床了吗？想要去吃一些食物吗？</t>
  </si>
  <si>
    <t xml:space="preserve">B::N_REG2::fluent_wrong</t>
  </si>
  <si>
    <t xml:space="preserve">嘿，醒着没？要不要一起去买点菜？</t>
  </si>
  <si>
    <t xml:space="preserve">买点菜</t>
  </si>
  <si>
    <t xml:space="preserve">[Mistranslation, major] 'Grab some food' (eat) becomes 'buy groceries'.</t>
  </si>
  <si>
    <t xml:space="preserve">B::N_REG2::targeted_error</t>
  </si>
  <si>
    <t xml:space="preserve">您好，请问您是否已起床？是否有意共进餐食？</t>
  </si>
  <si>
    <t xml:space="preserve">是否有意共进餐食</t>
  </si>
  <si>
    <t xml:space="preserve">[Style/Register, minor] Casual text message rendered in stiff, formal written register.</t>
  </si>
  <si>
    <t xml:space="preserve">Review progress and agreement with our expected bands (all cells are formulas)</t>
  </si>
  <si>
    <t xml:space="preserve">Rows</t>
  </si>
  <si>
    <t xml:space="preserve">Reviewed (Q2 filled)</t>
  </si>
  <si>
    <t xml:space="preserve">Band agrees</t>
  </si>
  <si>
    <t xml:space="preserve">Agreement rate</t>
  </si>
  <si>
    <t xml:space="preserve">TOTAL</t>
  </si>
  <si>
    <t xml:space="preserve">Q1 answered 'No' or 'Partly':</t>
  </si>
  <si>
    <t xml:space="preserve">Corrections suggested (Q5):</t>
  </si>
</sst>
</file>

<file path=xl/styles.xml><?xml version="1.0" encoding="utf-8"?>
<styleSheet xmlns="http://schemas.openxmlformats.org/spreadsheetml/2006/main">
  <numFmts count="2">
    <numFmt numFmtId="164" formatCode="General"/>
    <numFmt numFmtId="165" formatCode="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1"/>
      <color rgb="FF1F3864"/>
      <name val="Arial"/>
      <family val="0"/>
      <charset val="1"/>
    </font>
    <font>
      <i val="true"/>
      <sz val="10"/>
      <name val="Arial"/>
      <family val="0"/>
      <charset val="1"/>
    </font>
    <font>
      <i val="true"/>
      <sz val="10"/>
      <name val="Noto Sans CJK SC"/>
      <family val="2"/>
      <charset val="1"/>
    </font>
    <font>
      <b val="true"/>
      <sz val="10"/>
      <color rgb="FFFFFFFF"/>
      <name val="Arial"/>
      <family val="0"/>
      <charset val="1"/>
    </font>
    <font>
      <b val="true"/>
      <sz val="10"/>
      <name val="Noto Sans CJK SC"/>
      <family val="2"/>
      <charset val="1"/>
    </font>
    <font>
      <sz val="10"/>
      <name val="Noto Sans CJK SC"/>
      <family val="2"/>
      <charset val="1"/>
    </font>
    <font>
      <sz val="10"/>
      <name val="Noto Sans CJK SC"/>
      <family val="2"/>
    </font>
    <font>
      <b val="true"/>
      <sz val="10"/>
      <name val="Noto Sans CJK SC"/>
      <family val="2"/>
    </font>
    <font>
      <b val="true"/>
      <sz val="12"/>
      <color rgb="FF1F3864"/>
      <name val="Arial"/>
      <family val="0"/>
      <charset val="1"/>
    </font>
  </fonts>
  <fills count="6">
    <fill>
      <patternFill patternType="none"/>
    </fill>
    <fill>
      <patternFill patternType="gray125"/>
    </fill>
    <fill>
      <patternFill patternType="solid">
        <fgColor rgb="FFD9E1F2"/>
        <bgColor rgb="FFEDEDED"/>
      </patternFill>
    </fill>
    <fill>
      <patternFill patternType="solid">
        <fgColor rgb="FFFFF2CC"/>
        <bgColor rgb="FFEDEDED"/>
      </patternFill>
    </fill>
    <fill>
      <patternFill patternType="solid">
        <fgColor rgb="FF1F3864"/>
        <bgColor rgb="FF333333"/>
      </patternFill>
    </fill>
    <fill>
      <patternFill patternType="solid">
        <fgColor rgb="FFEDEDED"/>
        <bgColor rgb="FFD9E1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11" fillId="2" borderId="2" xfId="0" applyFont="true" applyBorder="true" applyAlignment="true" applyProtection="false">
      <alignment horizontal="general" vertical="top" textRotation="0" wrapText="true" indent="0" shrinkToFit="false"/>
      <protection locked="true" hidden="false"/>
    </xf>
    <xf numFmtId="164" fontId="12" fillId="2" borderId="2" xfId="0" applyFont="true" applyBorder="true" applyAlignment="true" applyProtection="false">
      <alignment horizontal="general" vertical="top" textRotation="0" wrapText="tru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4" fontId="6" fillId="5" borderId="2"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5" fillId="2" borderId="2" xfId="0" applyFont="true" applyBorder="true" applyAlignment="true" applyProtection="false">
      <alignment horizontal="general" vertical="top" textRotation="0" wrapText="true" indent="0" shrinkToFit="false"/>
      <protection locked="true" hidden="false"/>
    </xf>
    <xf numFmtId="164" fontId="13" fillId="3" borderId="2"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D9E1F2"/>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EDEDED"/>
          <bgColor rgb="FF000000"/>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95"/>
  </cols>
  <sheetData>
    <row r="1" customFormat="false" ht="17.25" hidden="false" customHeight="true" outlineLevel="0" collapsed="false">
      <c r="A1" s="2" t="s">
        <v>0</v>
      </c>
    </row>
    <row r="3" customFormat="false" ht="34.5" hidden="false" customHeight="true" outlineLevel="0" collapsed="false">
      <c r="A3" s="3" t="s">
        <v>1</v>
      </c>
      <c r="B3" s="4" t="s">
        <v>2</v>
      </c>
    </row>
    <row r="4" customFormat="false" ht="23.25" hidden="false" customHeight="true" outlineLevel="0" collapsed="false">
      <c r="A4" s="3" t="s">
        <v>3</v>
      </c>
      <c r="B4" s="4" t="s">
        <v>4</v>
      </c>
    </row>
    <row r="5" customFormat="false" ht="23.2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23.25" hidden="false" customHeight="true" outlineLevel="0" collapsed="false">
      <c r="A8" s="3" t="s">
        <v>11</v>
      </c>
      <c r="B8" s="4" t="s">
        <v>12</v>
      </c>
    </row>
    <row r="9" customFormat="false" ht="15" hidden="false" customHeight="true" outlineLevel="0" collapsed="false">
      <c r="A9" s="3" t="s">
        <v>13</v>
      </c>
      <c r="B9" s="4" t="s">
        <v>14</v>
      </c>
    </row>
    <row r="10" customFormat="false" ht="23.25" hidden="false" customHeight="true" outlineLevel="0" collapsed="false">
      <c r="A10" s="3" t="s">
        <v>15</v>
      </c>
      <c r="B10" s="4" t="s">
        <v>16</v>
      </c>
    </row>
    <row r="11" customFormat="false" ht="15" hidden="false" customHeight="true" outlineLevel="0" collapsed="false">
      <c r="A11" s="3" t="s">
        <v>17</v>
      </c>
      <c r="B11" s="4" t="s">
        <v>18</v>
      </c>
    </row>
    <row r="12" customFormat="false" ht="15" hidden="false" customHeight="true" outlineLevel="0" collapsed="false">
      <c r="A12" s="3" t="s">
        <v>19</v>
      </c>
      <c r="B12" s="4" t="s">
        <v>20</v>
      </c>
    </row>
    <row r="13" customFormat="false" ht="15" hidden="false" customHeight="true" outlineLevel="0" collapsed="false">
      <c r="A13" s="3" t="s">
        <v>21</v>
      </c>
      <c r="B13" s="4" t="s">
        <v>22</v>
      </c>
    </row>
    <row r="14" customFormat="false" ht="23.25" hidden="false" customHeight="true" outlineLevel="0" collapsed="false">
      <c r="A14" s="3" t="s">
        <v>23</v>
      </c>
      <c r="B14" s="4" t="s">
        <v>24</v>
      </c>
    </row>
    <row r="15" customFormat="false" ht="23.25" hidden="false" customHeight="true" outlineLevel="0" collapsed="false">
      <c r="A15" s="3" t="s">
        <v>25</v>
      </c>
      <c r="B15" s="4" t="s">
        <v>26</v>
      </c>
    </row>
    <row r="17" customFormat="false" ht="15" hidden="false" customHeight="true" outlineLevel="0" collapsed="false">
      <c r="A17" s="5" t="s">
        <v>27</v>
      </c>
    </row>
    <row r="18" customFormat="false" ht="15" hidden="false" customHeight="true" outlineLevel="0" collapsed="false">
      <c r="A18" s="6" t="s">
        <v>28</v>
      </c>
      <c r="B18" s="7" t="s">
        <v>29</v>
      </c>
    </row>
    <row r="19" customFormat="false" ht="15" hidden="false" customHeight="true" outlineLevel="0" collapsed="false">
      <c r="A19" s="6" t="s">
        <v>30</v>
      </c>
      <c r="B19" s="7" t="s">
        <v>31</v>
      </c>
    </row>
    <row r="20" customFormat="false" ht="15" hidden="false" customHeight="true" outlineLevel="0" collapsed="false">
      <c r="A20" s="6" t="s">
        <v>32</v>
      </c>
      <c r="B20" s="8" t="s">
        <v>33</v>
      </c>
    </row>
    <row r="21" customFormat="false" ht="15" hidden="false" customHeight="true" outlineLevel="0" collapsed="false">
      <c r="A21" s="6" t="s">
        <v>34</v>
      </c>
      <c r="B21" s="8" t="s">
        <v>35</v>
      </c>
    </row>
    <row r="22" customFormat="false" ht="15" hidden="false" customHeight="true" outlineLevel="0" collapsed="false">
      <c r="A22" s="6" t="s">
        <v>36</v>
      </c>
      <c r="B22" s="9" t="s">
        <v>37</v>
      </c>
    </row>
    <row r="23" customFormat="false" ht="15" hidden="false" customHeight="true" outlineLevel="0" collapsed="false">
      <c r="A23" s="6" t="s">
        <v>38</v>
      </c>
      <c r="B23" s="9" t="s">
        <v>39</v>
      </c>
    </row>
    <row r="24" customFormat="false" ht="15" hidden="false" customHeight="true" outlineLevel="0" collapsed="false">
      <c r="A24" s="6" t="s">
        <v>40</v>
      </c>
      <c r="B24" s="9" t="s">
        <v>41</v>
      </c>
    </row>
    <row r="25" customFormat="false" ht="15" hidden="false" customHeight="true" outlineLevel="0" collapsed="false">
      <c r="A25" s="6" t="s">
        <v>42</v>
      </c>
      <c r="B25" s="9" t="s">
        <v>43</v>
      </c>
    </row>
    <row r="26" customFormat="false" ht="15" hidden="false" customHeight="true" outlineLevel="0" collapsed="false">
      <c r="A26" s="6" t="s">
        <v>44</v>
      </c>
      <c r="B26" s="9" t="s">
        <v>45</v>
      </c>
    </row>
    <row r="27" customFormat="false" ht="15" hidden="false" customHeight="true" outlineLevel="0" collapsed="false">
      <c r="A27" s="6" t="s">
        <v>46</v>
      </c>
      <c r="B27" s="9" t="s">
        <v>47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4" min="3" style="1" width="14"/>
    <col collapsed="false" customWidth="true" hidden="false" outlineLevel="0" max="5" min="5" style="1" width="12"/>
    <col collapsed="false" customWidth="true" hidden="false" outlineLevel="0" max="6" min="6" style="1" width="40"/>
    <col collapsed="false" customWidth="true" hidden="false" outlineLevel="0" max="7" min="7" style="1" width="44"/>
    <col collapsed="false" customWidth="true" hidden="false" outlineLevel="0" max="8" min="8" style="1" width="36"/>
    <col collapsed="false" customWidth="true" hidden="false" outlineLevel="0" max="9" min="9" style="1" width="42"/>
    <col collapsed="false" customWidth="true" hidden="false" outlineLevel="0" max="10" min="10" style="1" width="16"/>
    <col collapsed="false" customWidth="true" hidden="false" outlineLevel="0" max="11" min="11" style="1" width="34"/>
    <col collapsed="false" customWidth="true" hidden="false" outlineLevel="0" max="12" min="12" style="1" width="11"/>
    <col collapsed="false" customWidth="true" hidden="false" outlineLevel="0" max="13" min="13" style="1" width="14"/>
    <col collapsed="false" customWidth="true" hidden="false" outlineLevel="0" max="14" min="14" style="1" width="12"/>
    <col collapsed="false" customWidth="true" hidden="false" outlineLevel="0" max="15" min="15" style="1" width="14"/>
    <col collapsed="false" customWidth="true" hidden="false" outlineLevel="0" max="16" min="16" style="1" width="30"/>
    <col collapsed="false" customWidth="true" hidden="false" outlineLevel="0" max="17" min="17" style="1" width="36"/>
    <col collapsed="false" customWidth="true" hidden="false" outlineLevel="0" max="18" min="18" style="1" width="28"/>
    <col collapsed="false" customWidth="true" hidden="false" outlineLevel="0" max="19" min="19" style="1" width="12"/>
  </cols>
  <sheetData>
    <row r="1" customFormat="false" ht="42" hidden="false" customHeight="true" outlineLevel="0" collapsed="false">
      <c r="A1" s="10" t="s">
        <v>48</v>
      </c>
      <c r="B1" s="10" t="s">
        <v>49</v>
      </c>
      <c r="C1" s="10" t="s">
        <v>50</v>
      </c>
      <c r="D1" s="10" t="s">
        <v>28</v>
      </c>
      <c r="E1" s="10" t="s">
        <v>51</v>
      </c>
      <c r="F1" s="10" t="s">
        <v>30</v>
      </c>
      <c r="G1" s="10" t="s">
        <v>52</v>
      </c>
      <c r="H1" s="10" t="s">
        <v>53</v>
      </c>
      <c r="I1" s="10" t="s">
        <v>54</v>
      </c>
      <c r="J1" s="10" t="s">
        <v>55</v>
      </c>
      <c r="K1" s="10" t="s">
        <v>56</v>
      </c>
      <c r="L1" s="10" t="s">
        <v>57</v>
      </c>
      <c r="M1" s="10" t="s">
        <v>36</v>
      </c>
      <c r="N1" s="10" t="s">
        <v>38</v>
      </c>
      <c r="O1" s="10" t="s">
        <v>40</v>
      </c>
      <c r="P1" s="10" t="s">
        <v>42</v>
      </c>
      <c r="Q1" s="10" t="s">
        <v>58</v>
      </c>
      <c r="R1" s="10" t="s">
        <v>46</v>
      </c>
      <c r="S1" s="10" t="s">
        <v>59</v>
      </c>
    </row>
    <row r="2" customFormat="false" ht="57" hidden="false" customHeight="true" outlineLevel="0" collapsed="false">
      <c r="A2" s="11" t="s">
        <v>60</v>
      </c>
      <c r="B2" s="11" t="s">
        <v>61</v>
      </c>
      <c r="C2" s="11" t="s">
        <v>62</v>
      </c>
      <c r="D2" s="11" t="s">
        <v>63</v>
      </c>
      <c r="E2" s="11" t="s">
        <v>64</v>
      </c>
      <c r="F2" s="11" t="s">
        <v>65</v>
      </c>
      <c r="G2" s="12" t="s">
        <v>66</v>
      </c>
      <c r="H2" s="13" t="s">
        <v>66</v>
      </c>
      <c r="I2" s="11" t="s">
        <v>67</v>
      </c>
      <c r="J2" s="11"/>
      <c r="K2" s="11"/>
      <c r="L2" s="11" t="s">
        <v>68</v>
      </c>
      <c r="M2" s="14" t="s">
        <v>37</v>
      </c>
      <c r="N2" s="14" t="s">
        <v>68</v>
      </c>
      <c r="O2" s="15" t="s">
        <v>69</v>
      </c>
      <c r="P2" s="14"/>
      <c r="Q2" s="14"/>
      <c r="R2" s="14"/>
      <c r="S2" s="15" t="str">
        <f aca="false">IF(N2="","",IF(N2=L2,"agree","DISAGREE"))</f>
        <v>agree</v>
      </c>
    </row>
    <row r="3" customFormat="false" ht="45.75" hidden="false" customHeight="true" outlineLevel="0" collapsed="false">
      <c r="A3" s="4" t="s">
        <v>70</v>
      </c>
      <c r="B3" s="4" t="s">
        <v>61</v>
      </c>
      <c r="C3" s="4" t="s">
        <v>62</v>
      </c>
      <c r="D3" s="4" t="s">
        <v>71</v>
      </c>
      <c r="E3" s="4" t="s">
        <v>64</v>
      </c>
      <c r="F3" s="4" t="s">
        <v>65</v>
      </c>
      <c r="G3" s="16" t="s">
        <v>72</v>
      </c>
      <c r="H3" s="17" t="s">
        <v>66</v>
      </c>
      <c r="I3" s="4" t="s">
        <v>73</v>
      </c>
      <c r="J3" s="4"/>
      <c r="K3" s="4"/>
      <c r="L3" s="4" t="s">
        <v>68</v>
      </c>
      <c r="M3" s="14" t="s">
        <v>37</v>
      </c>
      <c r="N3" s="14" t="s">
        <v>68</v>
      </c>
      <c r="O3" s="15" t="s">
        <v>69</v>
      </c>
      <c r="P3" s="14"/>
      <c r="Q3" s="14"/>
      <c r="R3" s="14"/>
      <c r="S3" s="15" t="str">
        <f aca="false">IF(N3="","",IF(N3=L3,"agree","DISAGREE"))</f>
        <v>agree</v>
      </c>
    </row>
    <row r="4" customFormat="false" ht="34.5" hidden="false" customHeight="true" outlineLevel="0" collapsed="false">
      <c r="A4" s="4" t="s">
        <v>74</v>
      </c>
      <c r="B4" s="4" t="s">
        <v>61</v>
      </c>
      <c r="C4" s="4" t="s">
        <v>62</v>
      </c>
      <c r="D4" s="4" t="s">
        <v>75</v>
      </c>
      <c r="E4" s="4" t="s">
        <v>64</v>
      </c>
      <c r="F4" s="4" t="s">
        <v>65</v>
      </c>
      <c r="G4" s="16" t="s">
        <v>76</v>
      </c>
      <c r="H4" s="17" t="s">
        <v>66</v>
      </c>
      <c r="I4" s="4" t="s">
        <v>77</v>
      </c>
      <c r="J4" s="4"/>
      <c r="K4" s="4"/>
      <c r="L4" s="4" t="s">
        <v>78</v>
      </c>
      <c r="M4" s="14" t="s">
        <v>37</v>
      </c>
      <c r="N4" s="14" t="s">
        <v>78</v>
      </c>
      <c r="O4" s="15" t="s">
        <v>69</v>
      </c>
      <c r="P4" s="14"/>
      <c r="Q4" s="14"/>
      <c r="R4" s="14"/>
      <c r="S4" s="15" t="str">
        <f aca="false">IF(N4="","",IF(N4=L4,"agree","DISAGREE"))</f>
        <v>agree</v>
      </c>
    </row>
    <row r="5" customFormat="false" ht="34.5" hidden="false" customHeight="true" outlineLevel="0" collapsed="false">
      <c r="A5" s="4" t="s">
        <v>79</v>
      </c>
      <c r="B5" s="4" t="s">
        <v>61</v>
      </c>
      <c r="C5" s="4" t="s">
        <v>62</v>
      </c>
      <c r="D5" s="4" t="s">
        <v>29</v>
      </c>
      <c r="E5" s="4" t="s">
        <v>64</v>
      </c>
      <c r="F5" s="4" t="s">
        <v>65</v>
      </c>
      <c r="G5" s="16" t="s">
        <v>80</v>
      </c>
      <c r="H5" s="17" t="s">
        <v>66</v>
      </c>
      <c r="I5" s="4" t="s">
        <v>81</v>
      </c>
      <c r="J5" s="17" t="s">
        <v>82</v>
      </c>
      <c r="K5" s="4" t="s">
        <v>83</v>
      </c>
      <c r="L5" s="4" t="s">
        <v>39</v>
      </c>
      <c r="M5" s="14" t="s">
        <v>37</v>
      </c>
      <c r="N5" s="14" t="s">
        <v>39</v>
      </c>
      <c r="O5" s="14" t="s">
        <v>41</v>
      </c>
      <c r="P5" s="14"/>
      <c r="Q5" s="14"/>
      <c r="R5" s="14"/>
      <c r="S5" s="15" t="str">
        <f aca="false">IF(N5="","",IF(N5=L5,"agree","DISAGREE"))</f>
        <v>agree</v>
      </c>
    </row>
    <row r="6" customFormat="false" ht="34.5" hidden="false" customHeight="true" outlineLevel="0" collapsed="false">
      <c r="A6" s="4" t="s">
        <v>84</v>
      </c>
      <c r="B6" s="4" t="s">
        <v>61</v>
      </c>
      <c r="C6" s="4" t="s">
        <v>62</v>
      </c>
      <c r="D6" s="4" t="s">
        <v>85</v>
      </c>
      <c r="E6" s="4" t="s">
        <v>64</v>
      </c>
      <c r="F6" s="4" t="s">
        <v>65</v>
      </c>
      <c r="G6" s="16" t="s">
        <v>86</v>
      </c>
      <c r="H6" s="17" t="s">
        <v>66</v>
      </c>
      <c r="I6" s="4" t="s">
        <v>87</v>
      </c>
      <c r="J6" s="17" t="s">
        <v>88</v>
      </c>
      <c r="K6" s="4" t="s">
        <v>89</v>
      </c>
      <c r="L6" s="4" t="s">
        <v>39</v>
      </c>
      <c r="M6" s="14" t="s">
        <v>37</v>
      </c>
      <c r="N6" s="14" t="s">
        <v>39</v>
      </c>
      <c r="O6" s="14" t="s">
        <v>41</v>
      </c>
      <c r="P6" s="14"/>
      <c r="Q6" s="14"/>
      <c r="R6" s="14"/>
      <c r="S6" s="15" t="str">
        <f aca="false">IF(N6="","",IF(N6=L6,"agree","DISAGREE"))</f>
        <v>agree</v>
      </c>
    </row>
    <row r="7" customFormat="false" ht="34.5" hidden="false" customHeight="true" outlineLevel="0" collapsed="false">
      <c r="A7" s="4" t="s">
        <v>90</v>
      </c>
      <c r="B7" s="4" t="s">
        <v>61</v>
      </c>
      <c r="C7" s="4" t="s">
        <v>62</v>
      </c>
      <c r="D7" s="4" t="s">
        <v>91</v>
      </c>
      <c r="E7" s="4" t="s">
        <v>64</v>
      </c>
      <c r="F7" s="4" t="s">
        <v>65</v>
      </c>
      <c r="G7" s="16" t="s">
        <v>92</v>
      </c>
      <c r="H7" s="17" t="s">
        <v>66</v>
      </c>
      <c r="I7" s="4" t="s">
        <v>93</v>
      </c>
      <c r="J7" s="4"/>
      <c r="K7" s="4"/>
      <c r="L7" s="4" t="s">
        <v>68</v>
      </c>
      <c r="M7" s="14" t="s">
        <v>37</v>
      </c>
      <c r="N7" s="14" t="s">
        <v>68</v>
      </c>
      <c r="O7" s="15" t="s">
        <v>69</v>
      </c>
      <c r="P7" s="14"/>
      <c r="Q7" s="14"/>
      <c r="R7" s="14"/>
      <c r="S7" s="15" t="str">
        <f aca="false">IF(N7="","",IF(N7=L7,"agree","DISAGREE"))</f>
        <v>agree</v>
      </c>
    </row>
    <row r="8" customFormat="false" ht="57" hidden="false" customHeight="true" outlineLevel="0" collapsed="false">
      <c r="A8" s="18" t="s">
        <v>94</v>
      </c>
      <c r="B8" s="18" t="s">
        <v>95</v>
      </c>
      <c r="C8" s="18" t="s">
        <v>62</v>
      </c>
      <c r="D8" s="18" t="s">
        <v>63</v>
      </c>
      <c r="E8" s="18" t="s">
        <v>64</v>
      </c>
      <c r="F8" s="18" t="s">
        <v>96</v>
      </c>
      <c r="G8" s="19" t="s">
        <v>97</v>
      </c>
      <c r="H8" s="20" t="s">
        <v>97</v>
      </c>
      <c r="I8" s="18" t="s">
        <v>67</v>
      </c>
      <c r="J8" s="18"/>
      <c r="K8" s="18"/>
      <c r="L8" s="18" t="s">
        <v>68</v>
      </c>
      <c r="M8" s="21" t="s">
        <v>37</v>
      </c>
      <c r="N8" s="21" t="s">
        <v>68</v>
      </c>
      <c r="O8" s="22" t="s">
        <v>69</v>
      </c>
      <c r="P8" s="21"/>
      <c r="Q8" s="21"/>
      <c r="R8" s="21"/>
      <c r="S8" s="22" t="str">
        <f aca="false">IF(N8="","",IF(N8=L8,"agree","DISAGREE"))</f>
        <v>agree</v>
      </c>
    </row>
    <row r="9" customFormat="false" ht="45.75" hidden="false" customHeight="true" outlineLevel="0" collapsed="false">
      <c r="A9" s="4" t="s">
        <v>98</v>
      </c>
      <c r="B9" s="4" t="s">
        <v>95</v>
      </c>
      <c r="C9" s="4" t="s">
        <v>62</v>
      </c>
      <c r="D9" s="4" t="s">
        <v>71</v>
      </c>
      <c r="E9" s="4" t="s">
        <v>64</v>
      </c>
      <c r="F9" s="4" t="s">
        <v>96</v>
      </c>
      <c r="G9" s="16" t="s">
        <v>99</v>
      </c>
      <c r="H9" s="17" t="s">
        <v>97</v>
      </c>
      <c r="I9" s="4" t="s">
        <v>73</v>
      </c>
      <c r="J9" s="4"/>
      <c r="K9" s="4"/>
      <c r="L9" s="4" t="s">
        <v>68</v>
      </c>
      <c r="M9" s="14" t="s">
        <v>37</v>
      </c>
      <c r="N9" s="14" t="s">
        <v>68</v>
      </c>
      <c r="O9" s="15" t="s">
        <v>69</v>
      </c>
      <c r="P9" s="14"/>
      <c r="Q9" s="14"/>
      <c r="R9" s="14"/>
      <c r="S9" s="15" t="str">
        <f aca="false">IF(N9="","",IF(N9=L9,"agree","DISAGREE"))</f>
        <v>agree</v>
      </c>
    </row>
    <row r="10" customFormat="false" ht="34.5" hidden="false" customHeight="true" outlineLevel="0" collapsed="false">
      <c r="A10" s="4" t="s">
        <v>100</v>
      </c>
      <c r="B10" s="4" t="s">
        <v>95</v>
      </c>
      <c r="C10" s="4" t="s">
        <v>62</v>
      </c>
      <c r="D10" s="4" t="s">
        <v>75</v>
      </c>
      <c r="E10" s="4" t="s">
        <v>64</v>
      </c>
      <c r="F10" s="4" t="s">
        <v>96</v>
      </c>
      <c r="G10" s="16" t="s">
        <v>101</v>
      </c>
      <c r="H10" s="17" t="s">
        <v>97</v>
      </c>
      <c r="I10" s="4" t="s">
        <v>77</v>
      </c>
      <c r="J10" s="4"/>
      <c r="K10" s="4"/>
      <c r="L10" s="4" t="s">
        <v>78</v>
      </c>
      <c r="M10" s="14" t="s">
        <v>37</v>
      </c>
      <c r="N10" s="14" t="s">
        <v>78</v>
      </c>
      <c r="O10" s="15" t="s">
        <v>69</v>
      </c>
      <c r="P10" s="14"/>
      <c r="Q10" s="14"/>
      <c r="R10" s="14"/>
      <c r="S10" s="15" t="str">
        <f aca="false">IF(N10="","",IF(N10=L10,"agree","DISAGREE"))</f>
        <v>agree</v>
      </c>
    </row>
    <row r="11" customFormat="false" ht="34.5" hidden="false" customHeight="true" outlineLevel="0" collapsed="false">
      <c r="A11" s="4" t="s">
        <v>102</v>
      </c>
      <c r="B11" s="4" t="s">
        <v>95</v>
      </c>
      <c r="C11" s="4" t="s">
        <v>62</v>
      </c>
      <c r="D11" s="4" t="s">
        <v>29</v>
      </c>
      <c r="E11" s="4" t="s">
        <v>64</v>
      </c>
      <c r="F11" s="4" t="s">
        <v>96</v>
      </c>
      <c r="G11" s="16" t="s">
        <v>103</v>
      </c>
      <c r="H11" s="17" t="s">
        <v>97</v>
      </c>
      <c r="I11" s="4" t="s">
        <v>81</v>
      </c>
      <c r="J11" s="17" t="s">
        <v>104</v>
      </c>
      <c r="K11" s="4" t="s">
        <v>105</v>
      </c>
      <c r="L11" s="4" t="s">
        <v>39</v>
      </c>
      <c r="M11" s="14" t="s">
        <v>37</v>
      </c>
      <c r="N11" s="14" t="s">
        <v>39</v>
      </c>
      <c r="O11" s="14" t="s">
        <v>41</v>
      </c>
      <c r="P11" s="14"/>
      <c r="Q11" s="14"/>
      <c r="R11" s="14"/>
      <c r="S11" s="15" t="str">
        <f aca="false">IF(N11="","",IF(N11=L11,"agree","DISAGREE"))</f>
        <v>agree</v>
      </c>
    </row>
    <row r="12" customFormat="false" ht="34.5" hidden="false" customHeight="true" outlineLevel="0" collapsed="false">
      <c r="A12" s="4" t="s">
        <v>106</v>
      </c>
      <c r="B12" s="4" t="s">
        <v>95</v>
      </c>
      <c r="C12" s="4" t="s">
        <v>62</v>
      </c>
      <c r="D12" s="4" t="s">
        <v>85</v>
      </c>
      <c r="E12" s="4" t="s">
        <v>64</v>
      </c>
      <c r="F12" s="4" t="s">
        <v>96</v>
      </c>
      <c r="G12" s="16" t="s">
        <v>107</v>
      </c>
      <c r="H12" s="17" t="s">
        <v>97</v>
      </c>
      <c r="I12" s="4" t="s">
        <v>87</v>
      </c>
      <c r="J12" s="17" t="s">
        <v>108</v>
      </c>
      <c r="K12" s="4" t="s">
        <v>109</v>
      </c>
      <c r="L12" s="4" t="s">
        <v>39</v>
      </c>
      <c r="M12" s="14" t="s">
        <v>37</v>
      </c>
      <c r="N12" s="14" t="s">
        <v>39</v>
      </c>
      <c r="O12" s="14" t="s">
        <v>41</v>
      </c>
      <c r="P12" s="14"/>
      <c r="Q12" s="14"/>
      <c r="R12" s="14"/>
      <c r="S12" s="15" t="str">
        <f aca="false">IF(N12="","",IF(N12=L12,"agree","DISAGREE"))</f>
        <v>agree</v>
      </c>
    </row>
    <row r="13" customFormat="false" ht="34.5" hidden="false" customHeight="true" outlineLevel="0" collapsed="false">
      <c r="A13" s="4" t="s">
        <v>110</v>
      </c>
      <c r="B13" s="4" t="s">
        <v>95</v>
      </c>
      <c r="C13" s="4" t="s">
        <v>62</v>
      </c>
      <c r="D13" s="4" t="s">
        <v>91</v>
      </c>
      <c r="E13" s="4" t="s">
        <v>64</v>
      </c>
      <c r="F13" s="4" t="s">
        <v>96</v>
      </c>
      <c r="G13" s="16" t="s">
        <v>97</v>
      </c>
      <c r="H13" s="17" t="s">
        <v>97</v>
      </c>
      <c r="I13" s="4" t="s">
        <v>93</v>
      </c>
      <c r="J13" s="4"/>
      <c r="K13" s="4"/>
      <c r="L13" s="4" t="s">
        <v>68</v>
      </c>
      <c r="M13" s="14" t="s">
        <v>37</v>
      </c>
      <c r="N13" s="14" t="s">
        <v>68</v>
      </c>
      <c r="O13" s="15" t="s">
        <v>69</v>
      </c>
      <c r="P13" s="14"/>
      <c r="Q13" s="14"/>
      <c r="R13" s="14"/>
      <c r="S13" s="15" t="str">
        <f aca="false">IF(N13="","",IF(N13=L13,"agree","DISAGREE"))</f>
        <v>agree</v>
      </c>
    </row>
    <row r="14" customFormat="false" ht="57" hidden="false" customHeight="true" outlineLevel="0" collapsed="false">
      <c r="A14" s="18" t="s">
        <v>111</v>
      </c>
      <c r="B14" s="18" t="s">
        <v>112</v>
      </c>
      <c r="C14" s="18" t="s">
        <v>62</v>
      </c>
      <c r="D14" s="18" t="s">
        <v>63</v>
      </c>
      <c r="E14" s="18" t="s">
        <v>64</v>
      </c>
      <c r="F14" s="18" t="s">
        <v>113</v>
      </c>
      <c r="G14" s="19" t="s">
        <v>114</v>
      </c>
      <c r="H14" s="20" t="s">
        <v>114</v>
      </c>
      <c r="I14" s="18" t="s">
        <v>67</v>
      </c>
      <c r="J14" s="18"/>
      <c r="K14" s="18"/>
      <c r="L14" s="18" t="s">
        <v>68</v>
      </c>
      <c r="M14" s="21" t="s">
        <v>37</v>
      </c>
      <c r="N14" s="21" t="s">
        <v>68</v>
      </c>
      <c r="O14" s="22" t="s">
        <v>69</v>
      </c>
      <c r="P14" s="21"/>
      <c r="Q14" s="21"/>
      <c r="R14" s="21"/>
      <c r="S14" s="22" t="str">
        <f aca="false">IF(N14="","",IF(N14=L14,"agree","DISAGREE"))</f>
        <v>agree</v>
      </c>
    </row>
    <row r="15" customFormat="false" ht="45.75" hidden="false" customHeight="true" outlineLevel="0" collapsed="false">
      <c r="A15" s="4" t="s">
        <v>115</v>
      </c>
      <c r="B15" s="4" t="s">
        <v>112</v>
      </c>
      <c r="C15" s="4" t="s">
        <v>62</v>
      </c>
      <c r="D15" s="4" t="s">
        <v>71</v>
      </c>
      <c r="E15" s="4" t="s">
        <v>64</v>
      </c>
      <c r="F15" s="4" t="s">
        <v>113</v>
      </c>
      <c r="G15" s="16" t="s">
        <v>116</v>
      </c>
      <c r="H15" s="17" t="s">
        <v>114</v>
      </c>
      <c r="I15" s="4" t="s">
        <v>73</v>
      </c>
      <c r="J15" s="4"/>
      <c r="K15" s="4"/>
      <c r="L15" s="4" t="s">
        <v>68</v>
      </c>
      <c r="M15" s="14" t="s">
        <v>37</v>
      </c>
      <c r="N15" s="14" t="s">
        <v>68</v>
      </c>
      <c r="O15" s="15" t="s">
        <v>69</v>
      </c>
      <c r="P15" s="14"/>
      <c r="Q15" s="14"/>
      <c r="R15" s="14"/>
      <c r="S15" s="15" t="str">
        <f aca="false">IF(N15="","",IF(N15=L15,"agree","DISAGREE"))</f>
        <v>agree</v>
      </c>
    </row>
    <row r="16" customFormat="false" ht="34.5" hidden="false" customHeight="true" outlineLevel="0" collapsed="false">
      <c r="A16" s="4" t="s">
        <v>117</v>
      </c>
      <c r="B16" s="4" t="s">
        <v>112</v>
      </c>
      <c r="C16" s="4" t="s">
        <v>62</v>
      </c>
      <c r="D16" s="4" t="s">
        <v>75</v>
      </c>
      <c r="E16" s="4" t="s">
        <v>64</v>
      </c>
      <c r="F16" s="4" t="s">
        <v>113</v>
      </c>
      <c r="G16" s="16" t="s">
        <v>118</v>
      </c>
      <c r="H16" s="17" t="s">
        <v>114</v>
      </c>
      <c r="I16" s="4" t="s">
        <v>77</v>
      </c>
      <c r="J16" s="4"/>
      <c r="K16" s="4"/>
      <c r="L16" s="4" t="s">
        <v>78</v>
      </c>
      <c r="M16" s="14" t="s">
        <v>37</v>
      </c>
      <c r="N16" s="14" t="s">
        <v>78</v>
      </c>
      <c r="O16" s="15" t="s">
        <v>69</v>
      </c>
      <c r="P16" s="14"/>
      <c r="Q16" s="14"/>
      <c r="R16" s="14"/>
      <c r="S16" s="15" t="str">
        <f aca="false">IF(N16="","",IF(N16=L16,"agree","DISAGREE"))</f>
        <v>agree</v>
      </c>
    </row>
    <row r="17" customFormat="false" ht="34.5" hidden="false" customHeight="true" outlineLevel="0" collapsed="false">
      <c r="A17" s="4" t="s">
        <v>119</v>
      </c>
      <c r="B17" s="4" t="s">
        <v>112</v>
      </c>
      <c r="C17" s="4" t="s">
        <v>62</v>
      </c>
      <c r="D17" s="4" t="s">
        <v>29</v>
      </c>
      <c r="E17" s="4" t="s">
        <v>64</v>
      </c>
      <c r="F17" s="4" t="s">
        <v>113</v>
      </c>
      <c r="G17" s="16" t="s">
        <v>120</v>
      </c>
      <c r="H17" s="17" t="s">
        <v>114</v>
      </c>
      <c r="I17" s="4" t="s">
        <v>81</v>
      </c>
      <c r="J17" s="17" t="s">
        <v>121</v>
      </c>
      <c r="K17" s="4" t="s">
        <v>122</v>
      </c>
      <c r="L17" s="4" t="s">
        <v>39</v>
      </c>
      <c r="M17" s="14" t="s">
        <v>37</v>
      </c>
      <c r="N17" s="14" t="s">
        <v>39</v>
      </c>
      <c r="O17" s="14" t="s">
        <v>41</v>
      </c>
      <c r="P17" s="14"/>
      <c r="Q17" s="14"/>
      <c r="R17" s="14"/>
      <c r="S17" s="15" t="str">
        <f aca="false">IF(N17="","",IF(N17=L17,"agree","DISAGREE"))</f>
        <v>agree</v>
      </c>
    </row>
    <row r="18" customFormat="false" ht="34.5" hidden="false" customHeight="true" outlineLevel="0" collapsed="false">
      <c r="A18" s="4" t="s">
        <v>123</v>
      </c>
      <c r="B18" s="4" t="s">
        <v>112</v>
      </c>
      <c r="C18" s="4" t="s">
        <v>62</v>
      </c>
      <c r="D18" s="4" t="s">
        <v>85</v>
      </c>
      <c r="E18" s="4" t="s">
        <v>64</v>
      </c>
      <c r="F18" s="4" t="s">
        <v>113</v>
      </c>
      <c r="G18" s="16" t="s">
        <v>124</v>
      </c>
      <c r="H18" s="17" t="s">
        <v>114</v>
      </c>
      <c r="I18" s="4" t="s">
        <v>87</v>
      </c>
      <c r="J18" s="17" t="s">
        <v>125</v>
      </c>
      <c r="K18" s="4" t="s">
        <v>126</v>
      </c>
      <c r="L18" s="4" t="s">
        <v>39</v>
      </c>
      <c r="M18" s="14" t="s">
        <v>37</v>
      </c>
      <c r="N18" s="14" t="s">
        <v>39</v>
      </c>
      <c r="O18" s="14" t="s">
        <v>41</v>
      </c>
      <c r="P18" s="14"/>
      <c r="Q18" s="14"/>
      <c r="R18" s="14"/>
      <c r="S18" s="15" t="str">
        <f aca="false">IF(N18="","",IF(N18=L18,"agree","DISAGREE"))</f>
        <v>agree</v>
      </c>
    </row>
    <row r="19" customFormat="false" ht="34.5" hidden="false" customHeight="true" outlineLevel="0" collapsed="false">
      <c r="A19" s="4" t="s">
        <v>127</v>
      </c>
      <c r="B19" s="4" t="s">
        <v>112</v>
      </c>
      <c r="C19" s="4" t="s">
        <v>62</v>
      </c>
      <c r="D19" s="4" t="s">
        <v>91</v>
      </c>
      <c r="E19" s="4" t="s">
        <v>64</v>
      </c>
      <c r="F19" s="4" t="s">
        <v>113</v>
      </c>
      <c r="G19" s="16" t="s">
        <v>128</v>
      </c>
      <c r="H19" s="17" t="s">
        <v>114</v>
      </c>
      <c r="I19" s="4" t="s">
        <v>93</v>
      </c>
      <c r="J19" s="4"/>
      <c r="K19" s="4"/>
      <c r="L19" s="4" t="s">
        <v>68</v>
      </c>
      <c r="M19" s="14" t="s">
        <v>37</v>
      </c>
      <c r="N19" s="14" t="s">
        <v>68</v>
      </c>
      <c r="O19" s="15" t="s">
        <v>69</v>
      </c>
      <c r="P19" s="14"/>
      <c r="Q19" s="14"/>
      <c r="R19" s="14"/>
      <c r="S19" s="15" t="str">
        <f aca="false">IF(N19="","",IF(N19=L19,"agree","DISAGREE"))</f>
        <v>agree</v>
      </c>
    </row>
    <row r="20" customFormat="false" ht="57" hidden="false" customHeight="true" outlineLevel="0" collapsed="false">
      <c r="A20" s="18" t="s">
        <v>129</v>
      </c>
      <c r="B20" s="18" t="s">
        <v>130</v>
      </c>
      <c r="C20" s="18" t="s">
        <v>62</v>
      </c>
      <c r="D20" s="18" t="s">
        <v>63</v>
      </c>
      <c r="E20" s="18" t="s">
        <v>64</v>
      </c>
      <c r="F20" s="18" t="s">
        <v>131</v>
      </c>
      <c r="G20" s="19" t="s">
        <v>132</v>
      </c>
      <c r="H20" s="20" t="s">
        <v>132</v>
      </c>
      <c r="I20" s="18" t="s">
        <v>67</v>
      </c>
      <c r="J20" s="18"/>
      <c r="K20" s="18"/>
      <c r="L20" s="18" t="s">
        <v>68</v>
      </c>
      <c r="M20" s="21" t="s">
        <v>37</v>
      </c>
      <c r="N20" s="21" t="s">
        <v>68</v>
      </c>
      <c r="O20" s="22" t="s">
        <v>69</v>
      </c>
      <c r="P20" s="21"/>
      <c r="Q20" s="21"/>
      <c r="R20" s="21"/>
      <c r="S20" s="22" t="str">
        <f aca="false">IF(N20="","",IF(N20=L20,"agree","DISAGREE"))</f>
        <v>agree</v>
      </c>
    </row>
    <row r="21" customFormat="false" ht="45.75" hidden="false" customHeight="true" outlineLevel="0" collapsed="false">
      <c r="A21" s="4" t="s">
        <v>133</v>
      </c>
      <c r="B21" s="4" t="s">
        <v>130</v>
      </c>
      <c r="C21" s="4" t="s">
        <v>62</v>
      </c>
      <c r="D21" s="4" t="s">
        <v>71</v>
      </c>
      <c r="E21" s="4" t="s">
        <v>64</v>
      </c>
      <c r="F21" s="4" t="s">
        <v>131</v>
      </c>
      <c r="G21" s="16" t="s">
        <v>134</v>
      </c>
      <c r="H21" s="17" t="s">
        <v>132</v>
      </c>
      <c r="I21" s="4" t="s">
        <v>73</v>
      </c>
      <c r="J21" s="4"/>
      <c r="K21" s="4"/>
      <c r="L21" s="4" t="s">
        <v>68</v>
      </c>
      <c r="M21" s="14" t="s">
        <v>37</v>
      </c>
      <c r="N21" s="14" t="s">
        <v>68</v>
      </c>
      <c r="O21" s="15" t="s">
        <v>69</v>
      </c>
      <c r="P21" s="14"/>
      <c r="Q21" s="14"/>
      <c r="R21" s="14"/>
      <c r="S21" s="15" t="str">
        <f aca="false">IF(N21="","",IF(N21=L21,"agree","DISAGREE"))</f>
        <v>agree</v>
      </c>
    </row>
    <row r="22" customFormat="false" ht="34.5" hidden="false" customHeight="true" outlineLevel="0" collapsed="false">
      <c r="A22" s="4" t="s">
        <v>135</v>
      </c>
      <c r="B22" s="4" t="s">
        <v>130</v>
      </c>
      <c r="C22" s="4" t="s">
        <v>62</v>
      </c>
      <c r="D22" s="4" t="s">
        <v>75</v>
      </c>
      <c r="E22" s="4" t="s">
        <v>64</v>
      </c>
      <c r="F22" s="4" t="s">
        <v>131</v>
      </c>
      <c r="G22" s="16" t="s">
        <v>136</v>
      </c>
      <c r="H22" s="17" t="s">
        <v>132</v>
      </c>
      <c r="I22" s="4" t="s">
        <v>77</v>
      </c>
      <c r="J22" s="4"/>
      <c r="K22" s="4"/>
      <c r="L22" s="4" t="s">
        <v>78</v>
      </c>
      <c r="M22" s="14" t="s">
        <v>37</v>
      </c>
      <c r="N22" s="14" t="s">
        <v>78</v>
      </c>
      <c r="O22" s="15" t="s">
        <v>69</v>
      </c>
      <c r="P22" s="14"/>
      <c r="Q22" s="14"/>
      <c r="R22" s="14"/>
      <c r="S22" s="15" t="str">
        <f aca="false">IF(N22="","",IF(N22=L22,"agree","DISAGREE"))</f>
        <v>agree</v>
      </c>
    </row>
    <row r="23" customFormat="false" ht="34.5" hidden="false" customHeight="true" outlineLevel="0" collapsed="false">
      <c r="A23" s="4" t="s">
        <v>137</v>
      </c>
      <c r="B23" s="4" t="s">
        <v>130</v>
      </c>
      <c r="C23" s="4" t="s">
        <v>62</v>
      </c>
      <c r="D23" s="4" t="s">
        <v>138</v>
      </c>
      <c r="E23" s="4" t="s">
        <v>64</v>
      </c>
      <c r="F23" s="4" t="s">
        <v>131</v>
      </c>
      <c r="G23" s="16" t="s">
        <v>139</v>
      </c>
      <c r="H23" s="17" t="s">
        <v>132</v>
      </c>
      <c r="I23" s="4" t="s">
        <v>140</v>
      </c>
      <c r="J23" s="4"/>
      <c r="K23" s="4"/>
      <c r="L23" s="4" t="s">
        <v>68</v>
      </c>
      <c r="M23" s="14" t="s">
        <v>37</v>
      </c>
      <c r="N23" s="14" t="s">
        <v>68</v>
      </c>
      <c r="O23" s="15" t="s">
        <v>69</v>
      </c>
      <c r="P23" s="14"/>
      <c r="Q23" s="14"/>
      <c r="R23" s="14"/>
      <c r="S23" s="15" t="str">
        <f aca="false">IF(N23="","",IF(N23=L23,"agree","DISAGREE"))</f>
        <v>agree</v>
      </c>
    </row>
    <row r="24" customFormat="false" ht="34.5" hidden="false" customHeight="true" outlineLevel="0" collapsed="false">
      <c r="A24" s="4" t="s">
        <v>141</v>
      </c>
      <c r="B24" s="4" t="s">
        <v>130</v>
      </c>
      <c r="C24" s="4" t="s">
        <v>62</v>
      </c>
      <c r="D24" s="4" t="s">
        <v>29</v>
      </c>
      <c r="E24" s="4" t="s">
        <v>64</v>
      </c>
      <c r="F24" s="4" t="s">
        <v>131</v>
      </c>
      <c r="G24" s="16" t="s">
        <v>142</v>
      </c>
      <c r="H24" s="17" t="s">
        <v>132</v>
      </c>
      <c r="I24" s="4" t="s">
        <v>81</v>
      </c>
      <c r="J24" s="17" t="s">
        <v>143</v>
      </c>
      <c r="K24" s="4" t="s">
        <v>144</v>
      </c>
      <c r="L24" s="4" t="s">
        <v>39</v>
      </c>
      <c r="M24" s="14" t="s">
        <v>37</v>
      </c>
      <c r="N24" s="14" t="s">
        <v>39</v>
      </c>
      <c r="O24" s="14" t="s">
        <v>41</v>
      </c>
      <c r="P24" s="14"/>
      <c r="Q24" s="14"/>
      <c r="R24" s="14"/>
      <c r="S24" s="15" t="str">
        <f aca="false">IF(N24="","",IF(N24=L24,"agree","DISAGREE"))</f>
        <v>agree</v>
      </c>
    </row>
    <row r="25" customFormat="false" ht="34.5" hidden="false" customHeight="true" outlineLevel="0" collapsed="false">
      <c r="A25" s="4" t="s">
        <v>145</v>
      </c>
      <c r="B25" s="4" t="s">
        <v>130</v>
      </c>
      <c r="C25" s="4" t="s">
        <v>62</v>
      </c>
      <c r="D25" s="4" t="s">
        <v>85</v>
      </c>
      <c r="E25" s="4" t="s">
        <v>64</v>
      </c>
      <c r="F25" s="4" t="s">
        <v>131</v>
      </c>
      <c r="G25" s="16" t="s">
        <v>146</v>
      </c>
      <c r="H25" s="17" t="s">
        <v>132</v>
      </c>
      <c r="I25" s="4" t="s">
        <v>87</v>
      </c>
      <c r="J25" s="17" t="s">
        <v>147</v>
      </c>
      <c r="K25" s="4" t="s">
        <v>148</v>
      </c>
      <c r="L25" s="4" t="s">
        <v>39</v>
      </c>
      <c r="M25" s="14" t="s">
        <v>37</v>
      </c>
      <c r="N25" s="14" t="s">
        <v>39</v>
      </c>
      <c r="O25" s="14" t="s">
        <v>41</v>
      </c>
      <c r="P25" s="14"/>
      <c r="Q25" s="14"/>
      <c r="R25" s="14"/>
      <c r="S25" s="15" t="str">
        <f aca="false">IF(N25="","",IF(N25=L25,"agree","DISAGREE"))</f>
        <v>agree</v>
      </c>
    </row>
    <row r="26" customFormat="false" ht="34.5" hidden="false" customHeight="true" outlineLevel="0" collapsed="false">
      <c r="A26" s="4" t="s">
        <v>149</v>
      </c>
      <c r="B26" s="4" t="s">
        <v>130</v>
      </c>
      <c r="C26" s="4" t="s">
        <v>62</v>
      </c>
      <c r="D26" s="4" t="s">
        <v>91</v>
      </c>
      <c r="E26" s="4" t="s">
        <v>64</v>
      </c>
      <c r="F26" s="4" t="s">
        <v>131</v>
      </c>
      <c r="G26" s="16" t="s">
        <v>150</v>
      </c>
      <c r="H26" s="17" t="s">
        <v>132</v>
      </c>
      <c r="I26" s="4" t="s">
        <v>93</v>
      </c>
      <c r="J26" s="4"/>
      <c r="K26" s="4"/>
      <c r="L26" s="4" t="s">
        <v>68</v>
      </c>
      <c r="M26" s="14" t="s">
        <v>37</v>
      </c>
      <c r="N26" s="14" t="s">
        <v>68</v>
      </c>
      <c r="O26" s="15" t="s">
        <v>69</v>
      </c>
      <c r="P26" s="14"/>
      <c r="Q26" s="14"/>
      <c r="R26" s="14"/>
      <c r="S26" s="15" t="str">
        <f aca="false">IF(N26="","",IF(N26=L26,"agree","DISAGREE"))</f>
        <v>agree</v>
      </c>
    </row>
    <row r="27" customFormat="false" ht="57" hidden="false" customHeight="true" outlineLevel="0" collapsed="false">
      <c r="A27" s="18" t="s">
        <v>151</v>
      </c>
      <c r="B27" s="18" t="s">
        <v>152</v>
      </c>
      <c r="C27" s="18" t="s">
        <v>153</v>
      </c>
      <c r="D27" s="18" t="s">
        <v>63</v>
      </c>
      <c r="E27" s="18" t="s">
        <v>64</v>
      </c>
      <c r="F27" s="18" t="s">
        <v>31</v>
      </c>
      <c r="G27" s="19" t="s">
        <v>154</v>
      </c>
      <c r="H27" s="20" t="s">
        <v>154</v>
      </c>
      <c r="I27" s="18" t="s">
        <v>67</v>
      </c>
      <c r="J27" s="18"/>
      <c r="K27" s="18"/>
      <c r="L27" s="18" t="s">
        <v>68</v>
      </c>
      <c r="M27" s="21" t="s">
        <v>37</v>
      </c>
      <c r="N27" s="21" t="s">
        <v>68</v>
      </c>
      <c r="O27" s="22" t="s">
        <v>69</v>
      </c>
      <c r="P27" s="21"/>
      <c r="Q27" s="21"/>
      <c r="R27" s="21"/>
      <c r="S27" s="22" t="str">
        <f aca="false">IF(N27="","",IF(N27=L27,"agree","DISAGREE"))</f>
        <v>agree</v>
      </c>
    </row>
    <row r="28" customFormat="false" ht="45.75" hidden="false" customHeight="true" outlineLevel="0" collapsed="false">
      <c r="A28" s="4" t="s">
        <v>155</v>
      </c>
      <c r="B28" s="4" t="s">
        <v>152</v>
      </c>
      <c r="C28" s="4" t="s">
        <v>153</v>
      </c>
      <c r="D28" s="4" t="s">
        <v>71</v>
      </c>
      <c r="E28" s="4" t="s">
        <v>64</v>
      </c>
      <c r="F28" s="4" t="s">
        <v>31</v>
      </c>
      <c r="G28" s="16" t="s">
        <v>156</v>
      </c>
      <c r="H28" s="17" t="s">
        <v>154</v>
      </c>
      <c r="I28" s="4" t="s">
        <v>73</v>
      </c>
      <c r="J28" s="4"/>
      <c r="K28" s="4"/>
      <c r="L28" s="4" t="s">
        <v>68</v>
      </c>
      <c r="M28" s="14" t="s">
        <v>37</v>
      </c>
      <c r="N28" s="14" t="s">
        <v>68</v>
      </c>
      <c r="O28" s="15" t="s">
        <v>69</v>
      </c>
      <c r="P28" s="14"/>
      <c r="Q28" s="14"/>
      <c r="R28" s="14"/>
      <c r="S28" s="15" t="str">
        <f aca="false">IF(N28="","",IF(N28=L28,"agree","DISAGREE"))</f>
        <v>agree</v>
      </c>
    </row>
    <row r="29" customFormat="false" ht="34.5" hidden="false" customHeight="true" outlineLevel="0" collapsed="false">
      <c r="A29" s="4" t="s">
        <v>157</v>
      </c>
      <c r="B29" s="4" t="s">
        <v>152</v>
      </c>
      <c r="C29" s="4" t="s">
        <v>153</v>
      </c>
      <c r="D29" s="4" t="s">
        <v>75</v>
      </c>
      <c r="E29" s="4" t="s">
        <v>64</v>
      </c>
      <c r="F29" s="4" t="s">
        <v>31</v>
      </c>
      <c r="G29" s="16" t="s">
        <v>158</v>
      </c>
      <c r="H29" s="17" t="s">
        <v>154</v>
      </c>
      <c r="I29" s="4" t="s">
        <v>77</v>
      </c>
      <c r="J29" s="4"/>
      <c r="K29" s="4"/>
      <c r="L29" s="4" t="s">
        <v>78</v>
      </c>
      <c r="M29" s="14" t="s">
        <v>37</v>
      </c>
      <c r="N29" s="14" t="s">
        <v>78</v>
      </c>
      <c r="O29" s="15" t="s">
        <v>69</v>
      </c>
      <c r="P29" s="14"/>
      <c r="Q29" s="14"/>
      <c r="R29" s="14"/>
      <c r="S29" s="15" t="str">
        <f aca="false">IF(N29="","",IF(N29=L29,"agree","DISAGREE"))</f>
        <v>agree</v>
      </c>
    </row>
    <row r="30" customFormat="false" ht="34.5" hidden="false" customHeight="true" outlineLevel="0" collapsed="false">
      <c r="A30" s="4" t="s">
        <v>159</v>
      </c>
      <c r="B30" s="4" t="s">
        <v>152</v>
      </c>
      <c r="C30" s="4" t="s">
        <v>153</v>
      </c>
      <c r="D30" s="4" t="s">
        <v>29</v>
      </c>
      <c r="E30" s="4" t="s">
        <v>64</v>
      </c>
      <c r="F30" s="4" t="s">
        <v>31</v>
      </c>
      <c r="G30" s="16" t="s">
        <v>33</v>
      </c>
      <c r="H30" s="17" t="s">
        <v>154</v>
      </c>
      <c r="I30" s="4" t="s">
        <v>81</v>
      </c>
      <c r="J30" s="17" t="s">
        <v>160</v>
      </c>
      <c r="K30" s="4" t="s">
        <v>161</v>
      </c>
      <c r="L30" s="4" t="s">
        <v>39</v>
      </c>
      <c r="M30" s="14" t="s">
        <v>37</v>
      </c>
      <c r="N30" s="14" t="s">
        <v>39</v>
      </c>
      <c r="O30" s="14" t="s">
        <v>41</v>
      </c>
      <c r="P30" s="14"/>
      <c r="Q30" s="14"/>
      <c r="R30" s="14"/>
      <c r="S30" s="15" t="str">
        <f aca="false">IF(N30="","",IF(N30=L30,"agree","DISAGREE"))</f>
        <v>agree</v>
      </c>
    </row>
    <row r="31" customFormat="false" ht="34.5" hidden="false" customHeight="true" outlineLevel="0" collapsed="false">
      <c r="A31" s="4" t="s">
        <v>162</v>
      </c>
      <c r="B31" s="4" t="s">
        <v>152</v>
      </c>
      <c r="C31" s="4" t="s">
        <v>153</v>
      </c>
      <c r="D31" s="4" t="s">
        <v>85</v>
      </c>
      <c r="E31" s="4" t="s">
        <v>64</v>
      </c>
      <c r="F31" s="4" t="s">
        <v>31</v>
      </c>
      <c r="G31" s="16" t="s">
        <v>163</v>
      </c>
      <c r="H31" s="17" t="s">
        <v>154</v>
      </c>
      <c r="I31" s="4" t="s">
        <v>87</v>
      </c>
      <c r="J31" s="17" t="s">
        <v>164</v>
      </c>
      <c r="K31" s="4" t="s">
        <v>165</v>
      </c>
      <c r="L31" s="4" t="s">
        <v>39</v>
      </c>
      <c r="M31" s="14" t="s">
        <v>37</v>
      </c>
      <c r="N31" s="14" t="s">
        <v>39</v>
      </c>
      <c r="O31" s="14" t="s">
        <v>41</v>
      </c>
      <c r="P31" s="14"/>
      <c r="Q31" s="14"/>
      <c r="R31" s="14"/>
      <c r="S31" s="15" t="str">
        <f aca="false">IF(N31="","",IF(N31=L31,"agree","DISAGREE"))</f>
        <v>agree</v>
      </c>
    </row>
    <row r="32" customFormat="false" ht="34.5" hidden="false" customHeight="true" outlineLevel="0" collapsed="false">
      <c r="A32" s="4" t="s">
        <v>166</v>
      </c>
      <c r="B32" s="4" t="s">
        <v>152</v>
      </c>
      <c r="C32" s="4" t="s">
        <v>153</v>
      </c>
      <c r="D32" s="4" t="s">
        <v>91</v>
      </c>
      <c r="E32" s="4" t="s">
        <v>64</v>
      </c>
      <c r="F32" s="4" t="s">
        <v>31</v>
      </c>
      <c r="G32" s="16" t="s">
        <v>154</v>
      </c>
      <c r="H32" s="17" t="s">
        <v>154</v>
      </c>
      <c r="I32" s="4" t="s">
        <v>93</v>
      </c>
      <c r="J32" s="4"/>
      <c r="K32" s="4"/>
      <c r="L32" s="4" t="s">
        <v>68</v>
      </c>
      <c r="M32" s="14" t="s">
        <v>37</v>
      </c>
      <c r="N32" s="14" t="s">
        <v>68</v>
      </c>
      <c r="O32" s="15" t="s">
        <v>69</v>
      </c>
      <c r="P32" s="14"/>
      <c r="Q32" s="14"/>
      <c r="R32" s="14"/>
      <c r="S32" s="15" t="str">
        <f aca="false">IF(N32="","",IF(N32=L32,"agree","DISAGREE"))</f>
        <v>agree</v>
      </c>
    </row>
    <row r="33" customFormat="false" ht="48.75" hidden="false" customHeight="true" outlineLevel="0" collapsed="false">
      <c r="A33" s="4" t="s">
        <v>167</v>
      </c>
      <c r="B33" s="4" t="s">
        <v>152</v>
      </c>
      <c r="C33" s="4" t="s">
        <v>153</v>
      </c>
      <c r="D33" s="4" t="s">
        <v>168</v>
      </c>
      <c r="E33" s="4" t="s">
        <v>168</v>
      </c>
      <c r="F33" s="4" t="s">
        <v>31</v>
      </c>
      <c r="G33" s="16" t="s">
        <v>169</v>
      </c>
      <c r="H33" s="17" t="s">
        <v>154</v>
      </c>
      <c r="I33" s="4" t="s">
        <v>170</v>
      </c>
      <c r="J33" s="4"/>
      <c r="K33" s="4"/>
      <c r="L33" s="4" t="s">
        <v>68</v>
      </c>
      <c r="M33" s="14" t="s">
        <v>37</v>
      </c>
      <c r="N33" s="14" t="s">
        <v>68</v>
      </c>
      <c r="O33" s="15" t="s">
        <v>69</v>
      </c>
      <c r="P33" s="14"/>
      <c r="Q33" s="14"/>
      <c r="R33" s="14"/>
      <c r="S33" s="15" t="str">
        <f aca="false">IF(N33="","",IF(N33=L33,"agree","DISAGREE"))</f>
        <v>agree</v>
      </c>
    </row>
    <row r="34" customFormat="false" ht="57" hidden="false" customHeight="true" outlineLevel="0" collapsed="false">
      <c r="A34" s="18" t="s">
        <v>171</v>
      </c>
      <c r="B34" s="18" t="s">
        <v>172</v>
      </c>
      <c r="C34" s="18" t="s">
        <v>153</v>
      </c>
      <c r="D34" s="18" t="s">
        <v>63</v>
      </c>
      <c r="E34" s="18" t="s">
        <v>64</v>
      </c>
      <c r="F34" s="18" t="s">
        <v>173</v>
      </c>
      <c r="G34" s="19" t="s">
        <v>174</v>
      </c>
      <c r="H34" s="20" t="s">
        <v>174</v>
      </c>
      <c r="I34" s="18" t="s">
        <v>67</v>
      </c>
      <c r="J34" s="18"/>
      <c r="K34" s="18"/>
      <c r="L34" s="18" t="s">
        <v>68</v>
      </c>
      <c r="M34" s="21" t="s">
        <v>37</v>
      </c>
      <c r="N34" s="21" t="s">
        <v>68</v>
      </c>
      <c r="O34" s="22" t="s">
        <v>69</v>
      </c>
      <c r="P34" s="21"/>
      <c r="Q34" s="21"/>
      <c r="R34" s="21"/>
      <c r="S34" s="22" t="str">
        <f aca="false">IF(N34="","",IF(N34=L34,"agree","DISAGREE"))</f>
        <v>agree</v>
      </c>
    </row>
    <row r="35" customFormat="false" ht="45.75" hidden="false" customHeight="true" outlineLevel="0" collapsed="false">
      <c r="A35" s="4" t="s">
        <v>175</v>
      </c>
      <c r="B35" s="4" t="s">
        <v>172</v>
      </c>
      <c r="C35" s="4" t="s">
        <v>153</v>
      </c>
      <c r="D35" s="4" t="s">
        <v>71</v>
      </c>
      <c r="E35" s="4" t="s">
        <v>64</v>
      </c>
      <c r="F35" s="4" t="s">
        <v>173</v>
      </c>
      <c r="G35" s="16" t="s">
        <v>176</v>
      </c>
      <c r="H35" s="17" t="s">
        <v>174</v>
      </c>
      <c r="I35" s="4" t="s">
        <v>73</v>
      </c>
      <c r="J35" s="4"/>
      <c r="K35" s="4"/>
      <c r="L35" s="4" t="s">
        <v>68</v>
      </c>
      <c r="M35" s="14" t="s">
        <v>37</v>
      </c>
      <c r="N35" s="14" t="s">
        <v>68</v>
      </c>
      <c r="O35" s="15" t="s">
        <v>69</v>
      </c>
      <c r="P35" s="14"/>
      <c r="Q35" s="14"/>
      <c r="R35" s="14"/>
      <c r="S35" s="15" t="str">
        <f aca="false">IF(N35="","",IF(N35=L35,"agree","DISAGREE"))</f>
        <v>agree</v>
      </c>
    </row>
    <row r="36" customFormat="false" ht="43.5" hidden="false" customHeight="true" outlineLevel="0" collapsed="false">
      <c r="A36" s="4" t="s">
        <v>177</v>
      </c>
      <c r="B36" s="4" t="s">
        <v>172</v>
      </c>
      <c r="C36" s="4" t="s">
        <v>153</v>
      </c>
      <c r="D36" s="4" t="s">
        <v>75</v>
      </c>
      <c r="E36" s="4" t="s">
        <v>64</v>
      </c>
      <c r="F36" s="4" t="s">
        <v>173</v>
      </c>
      <c r="G36" s="16" t="s">
        <v>178</v>
      </c>
      <c r="H36" s="17" t="s">
        <v>174</v>
      </c>
      <c r="I36" s="4" t="s">
        <v>77</v>
      </c>
      <c r="J36" s="4"/>
      <c r="K36" s="4"/>
      <c r="L36" s="4" t="s">
        <v>78</v>
      </c>
      <c r="M36" s="14" t="s">
        <v>37</v>
      </c>
      <c r="N36" s="14" t="s">
        <v>78</v>
      </c>
      <c r="O36" s="15" t="s">
        <v>69</v>
      </c>
      <c r="P36" s="14"/>
      <c r="Q36" s="14"/>
      <c r="R36" s="14"/>
      <c r="S36" s="15" t="str">
        <f aca="false">IF(N36="","",IF(N36=L36,"agree","DISAGREE"))</f>
        <v>agree</v>
      </c>
    </row>
    <row r="37" customFormat="false" ht="43.5" hidden="false" customHeight="true" outlineLevel="0" collapsed="false">
      <c r="A37" s="4" t="s">
        <v>179</v>
      </c>
      <c r="B37" s="4" t="s">
        <v>172</v>
      </c>
      <c r="C37" s="4" t="s">
        <v>153</v>
      </c>
      <c r="D37" s="4" t="s">
        <v>29</v>
      </c>
      <c r="E37" s="4" t="s">
        <v>64</v>
      </c>
      <c r="F37" s="4" t="s">
        <v>173</v>
      </c>
      <c r="G37" s="16" t="s">
        <v>180</v>
      </c>
      <c r="H37" s="17" t="s">
        <v>174</v>
      </c>
      <c r="I37" s="4" t="s">
        <v>81</v>
      </c>
      <c r="J37" s="17" t="s">
        <v>181</v>
      </c>
      <c r="K37" s="4" t="s">
        <v>182</v>
      </c>
      <c r="L37" s="4" t="s">
        <v>39</v>
      </c>
      <c r="M37" s="14" t="s">
        <v>37</v>
      </c>
      <c r="N37" s="14" t="s">
        <v>39</v>
      </c>
      <c r="O37" s="14" t="s">
        <v>41</v>
      </c>
      <c r="P37" s="14"/>
      <c r="Q37" s="14"/>
      <c r="R37" s="14"/>
      <c r="S37" s="15" t="str">
        <f aca="false">IF(N37="","",IF(N37=L37,"agree","DISAGREE"))</f>
        <v>agree</v>
      </c>
    </row>
    <row r="38" customFormat="false" ht="43.5" hidden="false" customHeight="true" outlineLevel="0" collapsed="false">
      <c r="A38" s="4" t="s">
        <v>183</v>
      </c>
      <c r="B38" s="4" t="s">
        <v>172</v>
      </c>
      <c r="C38" s="4" t="s">
        <v>153</v>
      </c>
      <c r="D38" s="4" t="s">
        <v>85</v>
      </c>
      <c r="E38" s="4" t="s">
        <v>64</v>
      </c>
      <c r="F38" s="4" t="s">
        <v>173</v>
      </c>
      <c r="G38" s="16" t="s">
        <v>184</v>
      </c>
      <c r="H38" s="17" t="s">
        <v>174</v>
      </c>
      <c r="I38" s="4" t="s">
        <v>87</v>
      </c>
      <c r="J38" s="4" t="s">
        <v>185</v>
      </c>
      <c r="K38" s="4" t="s">
        <v>186</v>
      </c>
      <c r="L38" s="4" t="s">
        <v>39</v>
      </c>
      <c r="M38" s="14" t="s">
        <v>37</v>
      </c>
      <c r="N38" s="14" t="s">
        <v>39</v>
      </c>
      <c r="O38" s="14" t="s">
        <v>41</v>
      </c>
      <c r="P38" s="14"/>
      <c r="Q38" s="14"/>
      <c r="R38" s="14"/>
      <c r="S38" s="15" t="str">
        <f aca="false">IF(N38="","",IF(N38=L38,"agree","DISAGREE"))</f>
        <v>agree</v>
      </c>
    </row>
    <row r="39" customFormat="false" ht="48.75" hidden="false" customHeight="true" outlineLevel="0" collapsed="false">
      <c r="A39" s="4" t="s">
        <v>187</v>
      </c>
      <c r="B39" s="4" t="s">
        <v>172</v>
      </c>
      <c r="C39" s="4" t="s">
        <v>153</v>
      </c>
      <c r="D39" s="4" t="s">
        <v>168</v>
      </c>
      <c r="E39" s="4" t="s">
        <v>168</v>
      </c>
      <c r="F39" s="4" t="s">
        <v>173</v>
      </c>
      <c r="G39" s="16" t="s">
        <v>188</v>
      </c>
      <c r="H39" s="17" t="s">
        <v>174</v>
      </c>
      <c r="I39" s="4" t="s">
        <v>170</v>
      </c>
      <c r="J39" s="4"/>
      <c r="K39" s="4"/>
      <c r="L39" s="4" t="s">
        <v>68</v>
      </c>
      <c r="M39" s="14" t="s">
        <v>37</v>
      </c>
      <c r="N39" s="14" t="s">
        <v>68</v>
      </c>
      <c r="O39" s="15" t="s">
        <v>69</v>
      </c>
      <c r="P39" s="14"/>
      <c r="Q39" s="14"/>
      <c r="R39" s="14"/>
      <c r="S39" s="15" t="str">
        <f aca="false">IF(N39="","",IF(N39=L39,"agree","DISAGREE"))</f>
        <v>agree</v>
      </c>
    </row>
    <row r="40" customFormat="false" ht="63" hidden="false" customHeight="true" outlineLevel="0" collapsed="false">
      <c r="A40" s="4" t="s">
        <v>189</v>
      </c>
      <c r="B40" s="4" t="s">
        <v>172</v>
      </c>
      <c r="C40" s="4" t="s">
        <v>153</v>
      </c>
      <c r="D40" s="4" t="s">
        <v>190</v>
      </c>
      <c r="E40" s="4" t="s">
        <v>190</v>
      </c>
      <c r="F40" s="4" t="s">
        <v>173</v>
      </c>
      <c r="G40" s="16" t="s">
        <v>191</v>
      </c>
      <c r="H40" s="17" t="s">
        <v>174</v>
      </c>
      <c r="I40" s="4" t="s">
        <v>192</v>
      </c>
      <c r="J40" s="4"/>
      <c r="K40" s="4"/>
      <c r="L40" s="4" t="s">
        <v>68</v>
      </c>
      <c r="M40" s="14" t="s">
        <v>37</v>
      </c>
      <c r="N40" s="14" t="s">
        <v>68</v>
      </c>
      <c r="O40" s="15" t="s">
        <v>69</v>
      </c>
      <c r="P40" s="14"/>
      <c r="Q40" s="14"/>
      <c r="R40" s="14"/>
      <c r="S40" s="15" t="str">
        <f aca="false">IF(N40="","",IF(N40=L40,"agree","DISAGREE"))</f>
        <v>agree</v>
      </c>
    </row>
    <row r="41" customFormat="false" ht="57" hidden="false" customHeight="true" outlineLevel="0" collapsed="false">
      <c r="A41" s="18" t="s">
        <v>193</v>
      </c>
      <c r="B41" s="18" t="s">
        <v>194</v>
      </c>
      <c r="C41" s="18" t="s">
        <v>153</v>
      </c>
      <c r="D41" s="18" t="s">
        <v>63</v>
      </c>
      <c r="E41" s="18" t="s">
        <v>64</v>
      </c>
      <c r="F41" s="18" t="s">
        <v>195</v>
      </c>
      <c r="G41" s="19" t="s">
        <v>196</v>
      </c>
      <c r="H41" s="20" t="s">
        <v>196</v>
      </c>
      <c r="I41" s="18" t="s">
        <v>67</v>
      </c>
      <c r="J41" s="18"/>
      <c r="K41" s="18"/>
      <c r="L41" s="18" t="s">
        <v>68</v>
      </c>
      <c r="M41" s="21" t="s">
        <v>37</v>
      </c>
      <c r="N41" s="21" t="s">
        <v>68</v>
      </c>
      <c r="O41" s="22" t="s">
        <v>69</v>
      </c>
      <c r="P41" s="21"/>
      <c r="Q41" s="21"/>
      <c r="R41" s="21"/>
      <c r="S41" s="22" t="str">
        <f aca="false">IF(N41="","",IF(N41=L41,"agree","DISAGREE"))</f>
        <v>agree</v>
      </c>
    </row>
    <row r="42" customFormat="false" ht="45.75" hidden="false" customHeight="true" outlineLevel="0" collapsed="false">
      <c r="A42" s="4" t="s">
        <v>197</v>
      </c>
      <c r="B42" s="4" t="s">
        <v>194</v>
      </c>
      <c r="C42" s="4" t="s">
        <v>153</v>
      </c>
      <c r="D42" s="4" t="s">
        <v>71</v>
      </c>
      <c r="E42" s="4" t="s">
        <v>64</v>
      </c>
      <c r="F42" s="4" t="s">
        <v>195</v>
      </c>
      <c r="G42" s="16" t="s">
        <v>198</v>
      </c>
      <c r="H42" s="17" t="s">
        <v>196</v>
      </c>
      <c r="I42" s="4" t="s">
        <v>73</v>
      </c>
      <c r="J42" s="4"/>
      <c r="K42" s="4"/>
      <c r="L42" s="4" t="s">
        <v>68</v>
      </c>
      <c r="M42" s="14" t="s">
        <v>37</v>
      </c>
      <c r="N42" s="14" t="s">
        <v>68</v>
      </c>
      <c r="O42" s="15" t="s">
        <v>69</v>
      </c>
      <c r="P42" s="14"/>
      <c r="Q42" s="14"/>
      <c r="R42" s="14"/>
      <c r="S42" s="15" t="str">
        <f aca="false">IF(N42="","",IF(N42=L42,"agree","DISAGREE"))</f>
        <v>agree</v>
      </c>
    </row>
    <row r="43" customFormat="false" ht="45.75" hidden="false" customHeight="true" outlineLevel="0" collapsed="false">
      <c r="A43" s="4" t="s">
        <v>199</v>
      </c>
      <c r="B43" s="4" t="s">
        <v>194</v>
      </c>
      <c r="C43" s="4" t="s">
        <v>153</v>
      </c>
      <c r="D43" s="4" t="s">
        <v>75</v>
      </c>
      <c r="E43" s="4" t="s">
        <v>64</v>
      </c>
      <c r="F43" s="4" t="s">
        <v>195</v>
      </c>
      <c r="G43" s="16" t="s">
        <v>200</v>
      </c>
      <c r="H43" s="17" t="s">
        <v>196</v>
      </c>
      <c r="I43" s="4" t="s">
        <v>77</v>
      </c>
      <c r="J43" s="4"/>
      <c r="K43" s="4"/>
      <c r="L43" s="4" t="s">
        <v>78</v>
      </c>
      <c r="M43" s="14" t="s">
        <v>37</v>
      </c>
      <c r="N43" s="14" t="s">
        <v>78</v>
      </c>
      <c r="O43" s="15" t="s">
        <v>69</v>
      </c>
      <c r="P43" s="14"/>
      <c r="Q43" s="14"/>
      <c r="R43" s="14"/>
      <c r="S43" s="15" t="str">
        <f aca="false">IF(N43="","",IF(N43=L43,"agree","DISAGREE"))</f>
        <v>agree</v>
      </c>
    </row>
    <row r="44" customFormat="false" ht="45.75" hidden="false" customHeight="true" outlineLevel="0" collapsed="false">
      <c r="A44" s="4" t="s">
        <v>201</v>
      </c>
      <c r="B44" s="4" t="s">
        <v>194</v>
      </c>
      <c r="C44" s="4" t="s">
        <v>153</v>
      </c>
      <c r="D44" s="4" t="s">
        <v>29</v>
      </c>
      <c r="E44" s="4" t="s">
        <v>64</v>
      </c>
      <c r="F44" s="4" t="s">
        <v>195</v>
      </c>
      <c r="G44" s="16" t="s">
        <v>202</v>
      </c>
      <c r="H44" s="17" t="s">
        <v>196</v>
      </c>
      <c r="I44" s="4" t="s">
        <v>81</v>
      </c>
      <c r="J44" s="17" t="s">
        <v>203</v>
      </c>
      <c r="K44" s="4" t="s">
        <v>204</v>
      </c>
      <c r="L44" s="4" t="s">
        <v>39</v>
      </c>
      <c r="M44" s="14" t="s">
        <v>37</v>
      </c>
      <c r="N44" s="14" t="s">
        <v>39</v>
      </c>
      <c r="O44" s="14" t="s">
        <v>41</v>
      </c>
      <c r="P44" s="14"/>
      <c r="Q44" s="14"/>
      <c r="R44" s="14"/>
      <c r="S44" s="15" t="str">
        <f aca="false">IF(N44="","",IF(N44=L44,"agree","DISAGREE"))</f>
        <v>agree</v>
      </c>
    </row>
    <row r="45" customFormat="false" ht="45.75" hidden="false" customHeight="true" outlineLevel="0" collapsed="false">
      <c r="A45" s="4" t="s">
        <v>205</v>
      </c>
      <c r="B45" s="4" t="s">
        <v>194</v>
      </c>
      <c r="C45" s="4" t="s">
        <v>153</v>
      </c>
      <c r="D45" s="4" t="s">
        <v>85</v>
      </c>
      <c r="E45" s="4" t="s">
        <v>64</v>
      </c>
      <c r="F45" s="4" t="s">
        <v>195</v>
      </c>
      <c r="G45" s="16" t="s">
        <v>206</v>
      </c>
      <c r="H45" s="17" t="s">
        <v>196</v>
      </c>
      <c r="I45" s="4" t="s">
        <v>87</v>
      </c>
      <c r="J45" s="4" t="s">
        <v>207</v>
      </c>
      <c r="K45" s="4" t="s">
        <v>208</v>
      </c>
      <c r="L45" s="4" t="s">
        <v>39</v>
      </c>
      <c r="M45" s="14" t="s">
        <v>37</v>
      </c>
      <c r="N45" s="14" t="s">
        <v>39</v>
      </c>
      <c r="O45" s="14" t="s">
        <v>41</v>
      </c>
      <c r="P45" s="14"/>
      <c r="Q45" s="14"/>
      <c r="R45" s="14"/>
      <c r="S45" s="15" t="str">
        <f aca="false">IF(N45="","",IF(N45=L45,"agree","DISAGREE"))</f>
        <v>agree</v>
      </c>
    </row>
    <row r="46" customFormat="false" ht="48.75" hidden="false" customHeight="true" outlineLevel="0" collapsed="false">
      <c r="A46" s="4" t="s">
        <v>209</v>
      </c>
      <c r="B46" s="4" t="s">
        <v>194</v>
      </c>
      <c r="C46" s="4" t="s">
        <v>153</v>
      </c>
      <c r="D46" s="4" t="s">
        <v>168</v>
      </c>
      <c r="E46" s="4" t="s">
        <v>168</v>
      </c>
      <c r="F46" s="4" t="s">
        <v>195</v>
      </c>
      <c r="G46" s="16" t="s">
        <v>210</v>
      </c>
      <c r="H46" s="17" t="s">
        <v>196</v>
      </c>
      <c r="I46" s="4" t="s">
        <v>170</v>
      </c>
      <c r="J46" s="4"/>
      <c r="K46" s="4"/>
      <c r="L46" s="4" t="s">
        <v>68</v>
      </c>
      <c r="M46" s="14" t="s">
        <v>37</v>
      </c>
      <c r="N46" s="14" t="s">
        <v>68</v>
      </c>
      <c r="O46" s="15" t="s">
        <v>69</v>
      </c>
      <c r="P46" s="14"/>
      <c r="Q46" s="14"/>
      <c r="R46" s="14"/>
      <c r="S46" s="15" t="str">
        <f aca="false">IF(N46="","",IF(N46=L46,"agree","DISAGREE"))</f>
        <v>agree</v>
      </c>
    </row>
    <row r="47" customFormat="false" ht="63" hidden="false" customHeight="true" outlineLevel="0" collapsed="false">
      <c r="A47" s="4" t="s">
        <v>211</v>
      </c>
      <c r="B47" s="4" t="s">
        <v>194</v>
      </c>
      <c r="C47" s="4" t="s">
        <v>153</v>
      </c>
      <c r="D47" s="4" t="s">
        <v>190</v>
      </c>
      <c r="E47" s="4" t="s">
        <v>190</v>
      </c>
      <c r="F47" s="4" t="s">
        <v>195</v>
      </c>
      <c r="G47" s="16" t="s">
        <v>212</v>
      </c>
      <c r="H47" s="17" t="s">
        <v>196</v>
      </c>
      <c r="I47" s="4" t="s">
        <v>192</v>
      </c>
      <c r="J47" s="4"/>
      <c r="K47" s="4"/>
      <c r="L47" s="4" t="s">
        <v>68</v>
      </c>
      <c r="M47" s="14" t="s">
        <v>37</v>
      </c>
      <c r="N47" s="14" t="s">
        <v>68</v>
      </c>
      <c r="O47" s="15" t="s">
        <v>69</v>
      </c>
      <c r="P47" s="14"/>
      <c r="Q47" s="14"/>
      <c r="R47" s="14"/>
      <c r="S47" s="15" t="str">
        <f aca="false">IF(N47="","",IF(N47=L47,"agree","DISAGREE"))</f>
        <v>agree</v>
      </c>
    </row>
    <row r="48" customFormat="false" ht="57" hidden="false" customHeight="true" outlineLevel="0" collapsed="false">
      <c r="A48" s="18" t="s">
        <v>213</v>
      </c>
      <c r="B48" s="18" t="s">
        <v>214</v>
      </c>
      <c r="C48" s="18" t="s">
        <v>153</v>
      </c>
      <c r="D48" s="18" t="s">
        <v>63</v>
      </c>
      <c r="E48" s="18" t="s">
        <v>64</v>
      </c>
      <c r="F48" s="18" t="s">
        <v>215</v>
      </c>
      <c r="G48" s="19" t="s">
        <v>216</v>
      </c>
      <c r="H48" s="20" t="s">
        <v>216</v>
      </c>
      <c r="I48" s="18" t="s">
        <v>67</v>
      </c>
      <c r="J48" s="18"/>
      <c r="K48" s="18"/>
      <c r="L48" s="18" t="s">
        <v>68</v>
      </c>
      <c r="M48" s="21" t="s">
        <v>37</v>
      </c>
      <c r="N48" s="21" t="s">
        <v>68</v>
      </c>
      <c r="O48" s="22" t="s">
        <v>69</v>
      </c>
      <c r="P48" s="21"/>
      <c r="Q48" s="21"/>
      <c r="R48" s="21"/>
      <c r="S48" s="22" t="str">
        <f aca="false">IF(N48="","",IF(N48=L48,"agree","DISAGREE"))</f>
        <v>agree</v>
      </c>
    </row>
    <row r="49" customFormat="false" ht="45.75" hidden="false" customHeight="true" outlineLevel="0" collapsed="false">
      <c r="A49" s="4" t="s">
        <v>217</v>
      </c>
      <c r="B49" s="4" t="s">
        <v>214</v>
      </c>
      <c r="C49" s="4" t="s">
        <v>153</v>
      </c>
      <c r="D49" s="4" t="s">
        <v>71</v>
      </c>
      <c r="E49" s="4" t="s">
        <v>64</v>
      </c>
      <c r="F49" s="4" t="s">
        <v>215</v>
      </c>
      <c r="G49" s="16" t="s">
        <v>218</v>
      </c>
      <c r="H49" s="17" t="s">
        <v>216</v>
      </c>
      <c r="I49" s="4" t="s">
        <v>73</v>
      </c>
      <c r="J49" s="4"/>
      <c r="K49" s="4"/>
      <c r="L49" s="4" t="s">
        <v>68</v>
      </c>
      <c r="M49" s="14" t="s">
        <v>37</v>
      </c>
      <c r="N49" s="14" t="s">
        <v>68</v>
      </c>
      <c r="O49" s="15" t="s">
        <v>69</v>
      </c>
      <c r="P49" s="14"/>
      <c r="Q49" s="14"/>
      <c r="R49" s="14"/>
      <c r="S49" s="15" t="str">
        <f aca="false">IF(N49="","",IF(N49=L49,"agree","DISAGREE"))</f>
        <v>agree</v>
      </c>
    </row>
    <row r="50" customFormat="false" ht="34.5" hidden="false" customHeight="true" outlineLevel="0" collapsed="false">
      <c r="A50" s="4" t="s">
        <v>219</v>
      </c>
      <c r="B50" s="4" t="s">
        <v>214</v>
      </c>
      <c r="C50" s="4" t="s">
        <v>153</v>
      </c>
      <c r="D50" s="4" t="s">
        <v>75</v>
      </c>
      <c r="E50" s="4" t="s">
        <v>64</v>
      </c>
      <c r="F50" s="4" t="s">
        <v>215</v>
      </c>
      <c r="G50" s="16" t="s">
        <v>220</v>
      </c>
      <c r="H50" s="17" t="s">
        <v>216</v>
      </c>
      <c r="I50" s="4" t="s">
        <v>77</v>
      </c>
      <c r="J50" s="4"/>
      <c r="K50" s="4"/>
      <c r="L50" s="4" t="s">
        <v>78</v>
      </c>
      <c r="M50" s="14" t="s">
        <v>37</v>
      </c>
      <c r="N50" s="14" t="s">
        <v>78</v>
      </c>
      <c r="O50" s="15" t="s">
        <v>69</v>
      </c>
      <c r="P50" s="14"/>
      <c r="Q50" s="14"/>
      <c r="R50" s="14"/>
      <c r="S50" s="15" t="str">
        <f aca="false">IF(N50="","",IF(N50=L50,"agree","DISAGREE"))</f>
        <v>agree</v>
      </c>
    </row>
    <row r="51" customFormat="false" ht="43.5" hidden="false" customHeight="true" outlineLevel="0" collapsed="false">
      <c r="A51" s="4" t="s">
        <v>221</v>
      </c>
      <c r="B51" s="4" t="s">
        <v>214</v>
      </c>
      <c r="C51" s="4" t="s">
        <v>153</v>
      </c>
      <c r="D51" s="4" t="s">
        <v>138</v>
      </c>
      <c r="E51" s="4" t="s">
        <v>64</v>
      </c>
      <c r="F51" s="4" t="s">
        <v>215</v>
      </c>
      <c r="G51" s="16" t="s">
        <v>222</v>
      </c>
      <c r="H51" s="17" t="s">
        <v>216</v>
      </c>
      <c r="I51" s="4" t="s">
        <v>140</v>
      </c>
      <c r="J51" s="4"/>
      <c r="K51" s="4"/>
      <c r="L51" s="4" t="s">
        <v>68</v>
      </c>
      <c r="M51" s="14" t="s">
        <v>37</v>
      </c>
      <c r="N51" s="14" t="s">
        <v>68</v>
      </c>
      <c r="O51" s="15" t="s">
        <v>69</v>
      </c>
      <c r="P51" s="14"/>
      <c r="Q51" s="14"/>
      <c r="R51" s="14"/>
      <c r="S51" s="15" t="str">
        <f aca="false">IF(N51="","",IF(N51=L51,"agree","DISAGREE"))</f>
        <v>agree</v>
      </c>
    </row>
    <row r="52" customFormat="false" ht="34.5" hidden="false" customHeight="true" outlineLevel="0" collapsed="false">
      <c r="A52" s="4" t="s">
        <v>223</v>
      </c>
      <c r="B52" s="4" t="s">
        <v>214</v>
      </c>
      <c r="C52" s="4" t="s">
        <v>153</v>
      </c>
      <c r="D52" s="4" t="s">
        <v>29</v>
      </c>
      <c r="E52" s="4" t="s">
        <v>64</v>
      </c>
      <c r="F52" s="4" t="s">
        <v>215</v>
      </c>
      <c r="G52" s="16" t="s">
        <v>224</v>
      </c>
      <c r="H52" s="17" t="s">
        <v>216</v>
      </c>
      <c r="I52" s="4" t="s">
        <v>81</v>
      </c>
      <c r="J52" s="17" t="s">
        <v>225</v>
      </c>
      <c r="K52" s="4" t="s">
        <v>226</v>
      </c>
      <c r="L52" s="4" t="s">
        <v>39</v>
      </c>
      <c r="M52" s="14" t="s">
        <v>37</v>
      </c>
      <c r="N52" s="14" t="s">
        <v>39</v>
      </c>
      <c r="O52" s="14" t="s">
        <v>41</v>
      </c>
      <c r="P52" s="14"/>
      <c r="Q52" s="14"/>
      <c r="R52" s="14"/>
      <c r="S52" s="15" t="str">
        <f aca="false">IF(N52="","",IF(N52=L52,"agree","DISAGREE"))</f>
        <v>agree</v>
      </c>
    </row>
    <row r="53" customFormat="false" ht="34.5" hidden="false" customHeight="true" outlineLevel="0" collapsed="false">
      <c r="A53" s="4" t="s">
        <v>227</v>
      </c>
      <c r="B53" s="4" t="s">
        <v>214</v>
      </c>
      <c r="C53" s="4" t="s">
        <v>153</v>
      </c>
      <c r="D53" s="4" t="s">
        <v>85</v>
      </c>
      <c r="E53" s="4" t="s">
        <v>64</v>
      </c>
      <c r="F53" s="4" t="s">
        <v>215</v>
      </c>
      <c r="G53" s="16" t="s">
        <v>228</v>
      </c>
      <c r="H53" s="17" t="s">
        <v>216</v>
      </c>
      <c r="I53" s="4" t="s">
        <v>87</v>
      </c>
      <c r="J53" s="4" t="s">
        <v>229</v>
      </c>
      <c r="K53" s="4" t="s">
        <v>230</v>
      </c>
      <c r="L53" s="4" t="s">
        <v>39</v>
      </c>
      <c r="M53" s="14" t="s">
        <v>37</v>
      </c>
      <c r="N53" s="14" t="s">
        <v>39</v>
      </c>
      <c r="O53" s="14" t="s">
        <v>41</v>
      </c>
      <c r="P53" s="14"/>
      <c r="Q53" s="14"/>
      <c r="R53" s="14"/>
      <c r="S53" s="15" t="str">
        <f aca="false">IF(N53="","",IF(N53=L53,"agree","DISAGREE"))</f>
        <v>agree</v>
      </c>
    </row>
    <row r="54" customFormat="false" ht="48.75" hidden="false" customHeight="true" outlineLevel="0" collapsed="false">
      <c r="A54" s="4" t="s">
        <v>231</v>
      </c>
      <c r="B54" s="4" t="s">
        <v>214</v>
      </c>
      <c r="C54" s="4" t="s">
        <v>153</v>
      </c>
      <c r="D54" s="4" t="s">
        <v>168</v>
      </c>
      <c r="E54" s="4" t="s">
        <v>168</v>
      </c>
      <c r="F54" s="4" t="s">
        <v>215</v>
      </c>
      <c r="G54" s="16" t="s">
        <v>232</v>
      </c>
      <c r="H54" s="17" t="s">
        <v>216</v>
      </c>
      <c r="I54" s="4" t="s">
        <v>170</v>
      </c>
      <c r="J54" s="4"/>
      <c r="K54" s="4"/>
      <c r="L54" s="4" t="s">
        <v>68</v>
      </c>
      <c r="M54" s="14" t="s">
        <v>37</v>
      </c>
      <c r="N54" s="14" t="s">
        <v>68</v>
      </c>
      <c r="O54" s="15" t="s">
        <v>69</v>
      </c>
      <c r="P54" s="14"/>
      <c r="Q54" s="14"/>
      <c r="R54" s="14"/>
      <c r="S54" s="15" t="str">
        <f aca="false">IF(N54="","",IF(N54=L54,"agree","DISAGREE"))</f>
        <v>agree</v>
      </c>
    </row>
    <row r="55" customFormat="false" ht="63" hidden="false" customHeight="true" outlineLevel="0" collapsed="false">
      <c r="A55" s="4" t="s">
        <v>233</v>
      </c>
      <c r="B55" s="4" t="s">
        <v>214</v>
      </c>
      <c r="C55" s="4" t="s">
        <v>153</v>
      </c>
      <c r="D55" s="4" t="s">
        <v>190</v>
      </c>
      <c r="E55" s="4" t="s">
        <v>190</v>
      </c>
      <c r="F55" s="4" t="s">
        <v>215</v>
      </c>
      <c r="G55" s="16" t="s">
        <v>234</v>
      </c>
      <c r="H55" s="17" t="s">
        <v>216</v>
      </c>
      <c r="I55" s="4" t="s">
        <v>192</v>
      </c>
      <c r="J55" s="4"/>
      <c r="K55" s="4"/>
      <c r="L55" s="4" t="s">
        <v>68</v>
      </c>
      <c r="M55" s="14" t="s">
        <v>37</v>
      </c>
      <c r="N55" s="14" t="s">
        <v>68</v>
      </c>
      <c r="O55" s="15" t="s">
        <v>69</v>
      </c>
      <c r="P55" s="14"/>
      <c r="Q55" s="14"/>
      <c r="R55" s="14"/>
      <c r="S55" s="15" t="str">
        <f aca="false">IF(N55="","",IF(N55=L55,"agree","DISAGREE"))</f>
        <v>agree</v>
      </c>
    </row>
    <row r="56" customFormat="false" ht="57" hidden="false" customHeight="true" outlineLevel="0" collapsed="false">
      <c r="A56" s="18" t="s">
        <v>235</v>
      </c>
      <c r="B56" s="18" t="s">
        <v>236</v>
      </c>
      <c r="C56" s="18" t="s">
        <v>153</v>
      </c>
      <c r="D56" s="18" t="s">
        <v>63</v>
      </c>
      <c r="E56" s="18" t="s">
        <v>64</v>
      </c>
      <c r="F56" s="18" t="s">
        <v>237</v>
      </c>
      <c r="G56" s="19" t="s">
        <v>238</v>
      </c>
      <c r="H56" s="20" t="s">
        <v>238</v>
      </c>
      <c r="I56" s="18" t="s">
        <v>67</v>
      </c>
      <c r="J56" s="18"/>
      <c r="K56" s="18"/>
      <c r="L56" s="18" t="s">
        <v>68</v>
      </c>
      <c r="M56" s="21" t="s">
        <v>37</v>
      </c>
      <c r="N56" s="21" t="s">
        <v>68</v>
      </c>
      <c r="O56" s="22" t="s">
        <v>69</v>
      </c>
      <c r="P56" s="21"/>
      <c r="Q56" s="21"/>
      <c r="R56" s="21"/>
      <c r="S56" s="22" t="str">
        <f aca="false">IF(N56="","",IF(N56=L56,"agree","DISAGREE"))</f>
        <v>agree</v>
      </c>
    </row>
    <row r="57" customFormat="false" ht="45.75" hidden="false" customHeight="true" outlineLevel="0" collapsed="false">
      <c r="A57" s="4" t="s">
        <v>239</v>
      </c>
      <c r="B57" s="4" t="s">
        <v>236</v>
      </c>
      <c r="C57" s="4" t="s">
        <v>153</v>
      </c>
      <c r="D57" s="4" t="s">
        <v>71</v>
      </c>
      <c r="E57" s="4" t="s">
        <v>64</v>
      </c>
      <c r="F57" s="4" t="s">
        <v>237</v>
      </c>
      <c r="G57" s="16" t="s">
        <v>240</v>
      </c>
      <c r="H57" s="17" t="s">
        <v>238</v>
      </c>
      <c r="I57" s="4" t="s">
        <v>73</v>
      </c>
      <c r="J57" s="4"/>
      <c r="K57" s="4"/>
      <c r="L57" s="4" t="s">
        <v>68</v>
      </c>
      <c r="M57" s="14" t="s">
        <v>37</v>
      </c>
      <c r="N57" s="14" t="s">
        <v>68</v>
      </c>
      <c r="O57" s="15" t="s">
        <v>69</v>
      </c>
      <c r="P57" s="14"/>
      <c r="Q57" s="14"/>
      <c r="R57" s="14"/>
      <c r="S57" s="15" t="str">
        <f aca="false">IF(N57="","",IF(N57=L57,"agree","DISAGREE"))</f>
        <v>agree</v>
      </c>
    </row>
    <row r="58" customFormat="false" ht="34.5" hidden="false" customHeight="true" outlineLevel="0" collapsed="false">
      <c r="A58" s="4" t="s">
        <v>241</v>
      </c>
      <c r="B58" s="4" t="s">
        <v>236</v>
      </c>
      <c r="C58" s="4" t="s">
        <v>153</v>
      </c>
      <c r="D58" s="4" t="s">
        <v>75</v>
      </c>
      <c r="E58" s="4" t="s">
        <v>64</v>
      </c>
      <c r="F58" s="4" t="s">
        <v>237</v>
      </c>
      <c r="G58" s="16" t="s">
        <v>242</v>
      </c>
      <c r="H58" s="17" t="s">
        <v>238</v>
      </c>
      <c r="I58" s="4" t="s">
        <v>77</v>
      </c>
      <c r="J58" s="4"/>
      <c r="K58" s="4"/>
      <c r="L58" s="4" t="s">
        <v>78</v>
      </c>
      <c r="M58" s="14" t="s">
        <v>37</v>
      </c>
      <c r="N58" s="14" t="s">
        <v>78</v>
      </c>
      <c r="O58" s="15" t="s">
        <v>69</v>
      </c>
      <c r="P58" s="14"/>
      <c r="Q58" s="14"/>
      <c r="R58" s="14"/>
      <c r="S58" s="15" t="str">
        <f aca="false">IF(N58="","",IF(N58=L58,"agree","DISAGREE"))</f>
        <v>agree</v>
      </c>
    </row>
    <row r="59" customFormat="false" ht="34.5" hidden="false" customHeight="true" outlineLevel="0" collapsed="false">
      <c r="A59" s="4" t="s">
        <v>243</v>
      </c>
      <c r="B59" s="4" t="s">
        <v>236</v>
      </c>
      <c r="C59" s="4" t="s">
        <v>153</v>
      </c>
      <c r="D59" s="4" t="s">
        <v>29</v>
      </c>
      <c r="E59" s="4" t="s">
        <v>64</v>
      </c>
      <c r="F59" s="4" t="s">
        <v>237</v>
      </c>
      <c r="G59" s="16" t="s">
        <v>244</v>
      </c>
      <c r="H59" s="17" t="s">
        <v>238</v>
      </c>
      <c r="I59" s="4" t="s">
        <v>81</v>
      </c>
      <c r="J59" s="17" t="s">
        <v>245</v>
      </c>
      <c r="K59" s="4" t="s">
        <v>246</v>
      </c>
      <c r="L59" s="4" t="s">
        <v>39</v>
      </c>
      <c r="M59" s="14" t="s">
        <v>37</v>
      </c>
      <c r="N59" s="14" t="s">
        <v>39</v>
      </c>
      <c r="O59" s="14" t="s">
        <v>41</v>
      </c>
      <c r="P59" s="14"/>
      <c r="Q59" s="14"/>
      <c r="R59" s="14"/>
      <c r="S59" s="15" t="str">
        <f aca="false">IF(N59="","",IF(N59=L59,"agree","DISAGREE"))</f>
        <v>agree</v>
      </c>
    </row>
    <row r="60" customFormat="false" ht="34.5" hidden="false" customHeight="true" outlineLevel="0" collapsed="false">
      <c r="A60" s="4" t="s">
        <v>247</v>
      </c>
      <c r="B60" s="4" t="s">
        <v>236</v>
      </c>
      <c r="C60" s="4" t="s">
        <v>153</v>
      </c>
      <c r="D60" s="4" t="s">
        <v>85</v>
      </c>
      <c r="E60" s="4" t="s">
        <v>64</v>
      </c>
      <c r="F60" s="4" t="s">
        <v>237</v>
      </c>
      <c r="G60" s="16" t="s">
        <v>248</v>
      </c>
      <c r="H60" s="17" t="s">
        <v>238</v>
      </c>
      <c r="I60" s="4" t="s">
        <v>87</v>
      </c>
      <c r="J60" s="4" t="s">
        <v>249</v>
      </c>
      <c r="K60" s="4" t="s">
        <v>250</v>
      </c>
      <c r="L60" s="4" t="s">
        <v>39</v>
      </c>
      <c r="M60" s="14" t="s">
        <v>37</v>
      </c>
      <c r="N60" s="14" t="s">
        <v>39</v>
      </c>
      <c r="O60" s="14" t="s">
        <v>41</v>
      </c>
      <c r="P60" s="14"/>
      <c r="Q60" s="14"/>
      <c r="R60" s="14"/>
      <c r="S60" s="15" t="str">
        <f aca="false">IF(N60="","",IF(N60=L60,"agree","DISAGREE"))</f>
        <v>agree</v>
      </c>
    </row>
    <row r="61" customFormat="false" ht="48.75" hidden="false" customHeight="true" outlineLevel="0" collapsed="false">
      <c r="A61" s="4" t="s">
        <v>251</v>
      </c>
      <c r="B61" s="4" t="s">
        <v>236</v>
      </c>
      <c r="C61" s="4" t="s">
        <v>153</v>
      </c>
      <c r="D61" s="4" t="s">
        <v>168</v>
      </c>
      <c r="E61" s="4" t="s">
        <v>168</v>
      </c>
      <c r="F61" s="4" t="s">
        <v>237</v>
      </c>
      <c r="G61" s="16" t="s">
        <v>252</v>
      </c>
      <c r="H61" s="17" t="s">
        <v>238</v>
      </c>
      <c r="I61" s="4" t="s">
        <v>170</v>
      </c>
      <c r="J61" s="4"/>
      <c r="K61" s="4"/>
      <c r="L61" s="4" t="s">
        <v>68</v>
      </c>
      <c r="M61" s="14" t="s">
        <v>37</v>
      </c>
      <c r="N61" s="14" t="s">
        <v>68</v>
      </c>
      <c r="O61" s="15" t="s">
        <v>69</v>
      </c>
      <c r="P61" s="14"/>
      <c r="Q61" s="14"/>
      <c r="R61" s="14"/>
      <c r="S61" s="15" t="str">
        <f aca="false">IF(N61="","",IF(N61=L61,"agree","DISAGREE"))</f>
        <v>agree</v>
      </c>
    </row>
    <row r="62" customFormat="false" ht="93.75" hidden="false" customHeight="true" outlineLevel="0" collapsed="false">
      <c r="A62" s="18" t="s">
        <v>253</v>
      </c>
      <c r="B62" s="18" t="s">
        <v>254</v>
      </c>
      <c r="C62" s="18" t="s">
        <v>255</v>
      </c>
      <c r="D62" s="18" t="s">
        <v>63</v>
      </c>
      <c r="E62" s="18" t="s">
        <v>64</v>
      </c>
      <c r="F62" s="18" t="s">
        <v>256</v>
      </c>
      <c r="G62" s="19" t="s">
        <v>257</v>
      </c>
      <c r="H62" s="20" t="s">
        <v>257</v>
      </c>
      <c r="I62" s="18" t="s">
        <v>258</v>
      </c>
      <c r="J62" s="18"/>
      <c r="K62" s="18"/>
      <c r="L62" s="18" t="s">
        <v>68</v>
      </c>
      <c r="M62" s="21" t="s">
        <v>37</v>
      </c>
      <c r="N62" s="21" t="s">
        <v>68</v>
      </c>
      <c r="O62" s="22" t="s">
        <v>69</v>
      </c>
      <c r="P62" s="21"/>
      <c r="Q62" s="21"/>
      <c r="R62" s="21"/>
      <c r="S62" s="22" t="str">
        <f aca="false">IF(N62="","",IF(N62=L62,"agree","DISAGREE"))</f>
        <v>agree</v>
      </c>
    </row>
    <row r="63" customFormat="false" ht="45.75" hidden="false" customHeight="true" outlineLevel="0" collapsed="false">
      <c r="A63" s="4" t="s">
        <v>259</v>
      </c>
      <c r="B63" s="4" t="s">
        <v>254</v>
      </c>
      <c r="C63" s="4" t="s">
        <v>255</v>
      </c>
      <c r="D63" s="4" t="s">
        <v>71</v>
      </c>
      <c r="E63" s="4" t="s">
        <v>64</v>
      </c>
      <c r="F63" s="4" t="s">
        <v>256</v>
      </c>
      <c r="G63" s="16" t="s">
        <v>260</v>
      </c>
      <c r="H63" s="17" t="s">
        <v>257</v>
      </c>
      <c r="I63" s="4" t="s">
        <v>73</v>
      </c>
      <c r="J63" s="4"/>
      <c r="K63" s="4"/>
      <c r="L63" s="4" t="s">
        <v>68</v>
      </c>
      <c r="M63" s="14" t="s">
        <v>37</v>
      </c>
      <c r="N63" s="14" t="s">
        <v>68</v>
      </c>
      <c r="O63" s="15" t="s">
        <v>69</v>
      </c>
      <c r="P63" s="14"/>
      <c r="Q63" s="14"/>
      <c r="R63" s="14"/>
      <c r="S63" s="15" t="str">
        <f aca="false">IF(N63="","",IF(N63=L63,"agree","DISAGREE"))</f>
        <v>agree</v>
      </c>
    </row>
    <row r="64" customFormat="false" ht="34.5" hidden="false" customHeight="true" outlineLevel="0" collapsed="false">
      <c r="A64" s="4" t="s">
        <v>261</v>
      </c>
      <c r="B64" s="4" t="s">
        <v>254</v>
      </c>
      <c r="C64" s="4" t="s">
        <v>255</v>
      </c>
      <c r="D64" s="4" t="s">
        <v>75</v>
      </c>
      <c r="E64" s="4" t="s">
        <v>64</v>
      </c>
      <c r="F64" s="4" t="s">
        <v>256</v>
      </c>
      <c r="G64" s="16" t="s">
        <v>262</v>
      </c>
      <c r="H64" s="17" t="s">
        <v>257</v>
      </c>
      <c r="I64" s="4" t="s">
        <v>77</v>
      </c>
      <c r="J64" s="4"/>
      <c r="K64" s="4"/>
      <c r="L64" s="4" t="s">
        <v>78</v>
      </c>
      <c r="M64" s="14" t="s">
        <v>37</v>
      </c>
      <c r="N64" s="14" t="s">
        <v>78</v>
      </c>
      <c r="O64" s="15" t="s">
        <v>69</v>
      </c>
      <c r="P64" s="14"/>
      <c r="Q64" s="14"/>
      <c r="R64" s="14"/>
      <c r="S64" s="15" t="str">
        <f aca="false">IF(N64="","",IF(N64=L64,"agree","DISAGREE"))</f>
        <v>agree</v>
      </c>
    </row>
    <row r="65" customFormat="false" ht="34.5" hidden="false" customHeight="true" outlineLevel="0" collapsed="false">
      <c r="A65" s="4" t="s">
        <v>263</v>
      </c>
      <c r="B65" s="4" t="s">
        <v>254</v>
      </c>
      <c r="C65" s="4" t="s">
        <v>255</v>
      </c>
      <c r="D65" s="4" t="s">
        <v>29</v>
      </c>
      <c r="E65" s="4" t="s">
        <v>64</v>
      </c>
      <c r="F65" s="4" t="s">
        <v>256</v>
      </c>
      <c r="G65" s="16" t="s">
        <v>264</v>
      </c>
      <c r="H65" s="17" t="s">
        <v>257</v>
      </c>
      <c r="I65" s="4" t="s">
        <v>81</v>
      </c>
      <c r="J65" s="17" t="s">
        <v>265</v>
      </c>
      <c r="K65" s="4" t="s">
        <v>266</v>
      </c>
      <c r="L65" s="4" t="s">
        <v>39</v>
      </c>
      <c r="M65" s="14" t="s">
        <v>37</v>
      </c>
      <c r="N65" s="14" t="s">
        <v>39</v>
      </c>
      <c r="O65" s="14" t="s">
        <v>41</v>
      </c>
      <c r="P65" s="14"/>
      <c r="Q65" s="14"/>
      <c r="R65" s="14"/>
      <c r="S65" s="15" t="str">
        <f aca="false">IF(N65="","",IF(N65=L65,"agree","DISAGREE"))</f>
        <v>agree</v>
      </c>
    </row>
    <row r="66" customFormat="false" ht="34.5" hidden="false" customHeight="true" outlineLevel="0" collapsed="false">
      <c r="A66" s="4" t="s">
        <v>267</v>
      </c>
      <c r="B66" s="4" t="s">
        <v>254</v>
      </c>
      <c r="C66" s="4" t="s">
        <v>255</v>
      </c>
      <c r="D66" s="4" t="s">
        <v>85</v>
      </c>
      <c r="E66" s="4" t="s">
        <v>64</v>
      </c>
      <c r="F66" s="4" t="s">
        <v>256</v>
      </c>
      <c r="G66" s="16" t="s">
        <v>268</v>
      </c>
      <c r="H66" s="17" t="s">
        <v>257</v>
      </c>
      <c r="I66" s="4" t="s">
        <v>87</v>
      </c>
      <c r="J66" s="17" t="s">
        <v>269</v>
      </c>
      <c r="K66" s="4" t="s">
        <v>270</v>
      </c>
      <c r="L66" s="4" t="s">
        <v>39</v>
      </c>
      <c r="M66" s="14" t="s">
        <v>37</v>
      </c>
      <c r="N66" s="14" t="s">
        <v>39</v>
      </c>
      <c r="O66" s="14" t="s">
        <v>41</v>
      </c>
      <c r="P66" s="14"/>
      <c r="Q66" s="14"/>
      <c r="R66" s="14"/>
      <c r="S66" s="15" t="str">
        <f aca="false">IF(N66="","",IF(N66=L66,"agree","DISAGREE"))</f>
        <v>agree</v>
      </c>
    </row>
    <row r="67" customFormat="false" ht="34.5" hidden="false" customHeight="true" outlineLevel="0" collapsed="false">
      <c r="A67" s="4" t="s">
        <v>271</v>
      </c>
      <c r="B67" s="4" t="s">
        <v>254</v>
      </c>
      <c r="C67" s="4" t="s">
        <v>255</v>
      </c>
      <c r="D67" s="4" t="s">
        <v>91</v>
      </c>
      <c r="E67" s="4" t="s">
        <v>64</v>
      </c>
      <c r="F67" s="4" t="s">
        <v>256</v>
      </c>
      <c r="G67" s="16" t="s">
        <v>272</v>
      </c>
      <c r="H67" s="17" t="s">
        <v>257</v>
      </c>
      <c r="I67" s="4" t="s">
        <v>93</v>
      </c>
      <c r="J67" s="4"/>
      <c r="K67" s="4"/>
      <c r="L67" s="4" t="s">
        <v>68</v>
      </c>
      <c r="M67" s="14" t="s">
        <v>37</v>
      </c>
      <c r="N67" s="14" t="s">
        <v>68</v>
      </c>
      <c r="O67" s="15" t="s">
        <v>69</v>
      </c>
      <c r="P67" s="14"/>
      <c r="Q67" s="14"/>
      <c r="R67" s="14"/>
      <c r="S67" s="15" t="str">
        <f aca="false">IF(N67="","",IF(N67=L67,"agree","DISAGREE"))</f>
        <v>agree</v>
      </c>
    </row>
    <row r="68" customFormat="false" ht="48.75" hidden="false" customHeight="true" outlineLevel="0" collapsed="false">
      <c r="A68" s="4" t="s">
        <v>273</v>
      </c>
      <c r="B68" s="4" t="s">
        <v>254</v>
      </c>
      <c r="C68" s="4" t="s">
        <v>255</v>
      </c>
      <c r="D68" s="4" t="s">
        <v>168</v>
      </c>
      <c r="E68" s="4" t="s">
        <v>168</v>
      </c>
      <c r="F68" s="4" t="s">
        <v>256</v>
      </c>
      <c r="G68" s="16" t="s">
        <v>274</v>
      </c>
      <c r="H68" s="17" t="s">
        <v>257</v>
      </c>
      <c r="I68" s="4" t="s">
        <v>170</v>
      </c>
      <c r="J68" s="4"/>
      <c r="K68" s="4"/>
      <c r="L68" s="4" t="s">
        <v>68</v>
      </c>
      <c r="M68" s="14" t="s">
        <v>37</v>
      </c>
      <c r="N68" s="14" t="s">
        <v>68</v>
      </c>
      <c r="O68" s="15" t="s">
        <v>69</v>
      </c>
      <c r="P68" s="14"/>
      <c r="Q68" s="14"/>
      <c r="R68" s="14"/>
      <c r="S68" s="15" t="str">
        <f aca="false">IF(N68="","",IF(N68=L68,"agree","DISAGREE"))</f>
        <v>agree</v>
      </c>
    </row>
    <row r="69" customFormat="false" ht="57" hidden="false" customHeight="true" outlineLevel="0" collapsed="false">
      <c r="A69" s="18" t="s">
        <v>275</v>
      </c>
      <c r="B69" s="18" t="s">
        <v>276</v>
      </c>
      <c r="C69" s="18" t="s">
        <v>255</v>
      </c>
      <c r="D69" s="18" t="s">
        <v>63</v>
      </c>
      <c r="E69" s="18" t="s">
        <v>64</v>
      </c>
      <c r="F69" s="18" t="s">
        <v>277</v>
      </c>
      <c r="G69" s="19" t="s">
        <v>278</v>
      </c>
      <c r="H69" s="20" t="s">
        <v>278</v>
      </c>
      <c r="I69" s="18" t="s">
        <v>67</v>
      </c>
      <c r="J69" s="18"/>
      <c r="K69" s="18"/>
      <c r="L69" s="18" t="s">
        <v>68</v>
      </c>
      <c r="M69" s="21" t="s">
        <v>37</v>
      </c>
      <c r="N69" s="21" t="s">
        <v>68</v>
      </c>
      <c r="O69" s="22" t="s">
        <v>69</v>
      </c>
      <c r="P69" s="21"/>
      <c r="Q69" s="21"/>
      <c r="R69" s="21"/>
      <c r="S69" s="22" t="str">
        <f aca="false">IF(N69="","",IF(N69=L69,"agree","DISAGREE"))</f>
        <v>agree</v>
      </c>
    </row>
    <row r="70" customFormat="false" ht="45.75" hidden="false" customHeight="true" outlineLevel="0" collapsed="false">
      <c r="A70" s="4" t="s">
        <v>279</v>
      </c>
      <c r="B70" s="4" t="s">
        <v>276</v>
      </c>
      <c r="C70" s="4" t="s">
        <v>255</v>
      </c>
      <c r="D70" s="4" t="s">
        <v>71</v>
      </c>
      <c r="E70" s="4" t="s">
        <v>64</v>
      </c>
      <c r="F70" s="4" t="s">
        <v>277</v>
      </c>
      <c r="G70" s="16" t="s">
        <v>280</v>
      </c>
      <c r="H70" s="17" t="s">
        <v>278</v>
      </c>
      <c r="I70" s="4" t="s">
        <v>73</v>
      </c>
      <c r="J70" s="4"/>
      <c r="K70" s="4"/>
      <c r="L70" s="4" t="s">
        <v>68</v>
      </c>
      <c r="M70" s="14" t="s">
        <v>37</v>
      </c>
      <c r="N70" s="14" t="s">
        <v>68</v>
      </c>
      <c r="O70" s="15" t="s">
        <v>69</v>
      </c>
      <c r="P70" s="14"/>
      <c r="Q70" s="14"/>
      <c r="R70" s="14"/>
      <c r="S70" s="15" t="str">
        <f aca="false">IF(N70="","",IF(N70=L70,"agree","DISAGREE"))</f>
        <v>agree</v>
      </c>
    </row>
    <row r="71" customFormat="false" ht="34.5" hidden="false" customHeight="true" outlineLevel="0" collapsed="false">
      <c r="A71" s="4" t="s">
        <v>281</v>
      </c>
      <c r="B71" s="4" t="s">
        <v>276</v>
      </c>
      <c r="C71" s="4" t="s">
        <v>255</v>
      </c>
      <c r="D71" s="4" t="s">
        <v>75</v>
      </c>
      <c r="E71" s="4" t="s">
        <v>64</v>
      </c>
      <c r="F71" s="4" t="s">
        <v>277</v>
      </c>
      <c r="G71" s="16" t="s">
        <v>282</v>
      </c>
      <c r="H71" s="17" t="s">
        <v>278</v>
      </c>
      <c r="I71" s="4" t="s">
        <v>77</v>
      </c>
      <c r="J71" s="4"/>
      <c r="K71" s="4"/>
      <c r="L71" s="4" t="s">
        <v>78</v>
      </c>
      <c r="M71" s="14" t="s">
        <v>37</v>
      </c>
      <c r="N71" s="14" t="s">
        <v>78</v>
      </c>
      <c r="O71" s="15" t="s">
        <v>69</v>
      </c>
      <c r="P71" s="14"/>
      <c r="Q71" s="14"/>
      <c r="R71" s="14"/>
      <c r="S71" s="15" t="str">
        <f aca="false">IF(N71="","",IF(N71=L71,"agree","DISAGREE"))</f>
        <v>agree</v>
      </c>
    </row>
    <row r="72" customFormat="false" ht="34.5" hidden="false" customHeight="true" outlineLevel="0" collapsed="false">
      <c r="A72" s="4" t="s">
        <v>283</v>
      </c>
      <c r="B72" s="4" t="s">
        <v>276</v>
      </c>
      <c r="C72" s="4" t="s">
        <v>255</v>
      </c>
      <c r="D72" s="4" t="s">
        <v>29</v>
      </c>
      <c r="E72" s="4" t="s">
        <v>64</v>
      </c>
      <c r="F72" s="4" t="s">
        <v>277</v>
      </c>
      <c r="G72" s="16" t="s">
        <v>284</v>
      </c>
      <c r="H72" s="17" t="s">
        <v>278</v>
      </c>
      <c r="I72" s="4" t="s">
        <v>81</v>
      </c>
      <c r="J72" s="17" t="s">
        <v>285</v>
      </c>
      <c r="K72" s="4" t="s">
        <v>286</v>
      </c>
      <c r="L72" s="4" t="s">
        <v>39</v>
      </c>
      <c r="M72" s="14" t="s">
        <v>37</v>
      </c>
      <c r="N72" s="14" t="s">
        <v>39</v>
      </c>
      <c r="O72" s="14" t="s">
        <v>41</v>
      </c>
      <c r="P72" s="14"/>
      <c r="Q72" s="14"/>
      <c r="R72" s="14"/>
      <c r="S72" s="15" t="str">
        <f aca="false">IF(N72="","",IF(N72=L72,"agree","DISAGREE"))</f>
        <v>agree</v>
      </c>
    </row>
    <row r="73" customFormat="false" ht="34.5" hidden="false" customHeight="true" outlineLevel="0" collapsed="false">
      <c r="A73" s="4" t="s">
        <v>287</v>
      </c>
      <c r="B73" s="4" t="s">
        <v>276</v>
      </c>
      <c r="C73" s="4" t="s">
        <v>255</v>
      </c>
      <c r="D73" s="4" t="s">
        <v>85</v>
      </c>
      <c r="E73" s="4" t="s">
        <v>64</v>
      </c>
      <c r="F73" s="4" t="s">
        <v>277</v>
      </c>
      <c r="G73" s="16" t="s">
        <v>288</v>
      </c>
      <c r="H73" s="17" t="s">
        <v>278</v>
      </c>
      <c r="I73" s="4" t="s">
        <v>87</v>
      </c>
      <c r="J73" s="17" t="s">
        <v>289</v>
      </c>
      <c r="K73" s="4" t="s">
        <v>290</v>
      </c>
      <c r="L73" s="4" t="s">
        <v>39</v>
      </c>
      <c r="M73" s="14" t="s">
        <v>37</v>
      </c>
      <c r="N73" s="14" t="s">
        <v>39</v>
      </c>
      <c r="O73" s="14" t="s">
        <v>291</v>
      </c>
      <c r="P73" s="14"/>
      <c r="Q73" s="14"/>
      <c r="R73" s="14"/>
      <c r="S73" s="15" t="str">
        <f aca="false">IF(N73="","",IF(N73=L73,"agree","DISAGREE"))</f>
        <v>agree</v>
      </c>
    </row>
    <row r="74" customFormat="false" ht="57" hidden="false" customHeight="true" outlineLevel="0" collapsed="false">
      <c r="A74" s="4" t="s">
        <v>292</v>
      </c>
      <c r="B74" s="4" t="s">
        <v>276</v>
      </c>
      <c r="C74" s="4" t="s">
        <v>255</v>
      </c>
      <c r="D74" s="4" t="s">
        <v>91</v>
      </c>
      <c r="E74" s="4" t="s">
        <v>64</v>
      </c>
      <c r="F74" s="4" t="s">
        <v>277</v>
      </c>
      <c r="G74" s="16" t="s">
        <v>293</v>
      </c>
      <c r="H74" s="17" t="s">
        <v>278</v>
      </c>
      <c r="I74" s="4" t="s">
        <v>294</v>
      </c>
      <c r="J74" s="4"/>
      <c r="K74" s="4"/>
      <c r="L74" s="4" t="s">
        <v>39</v>
      </c>
      <c r="M74" s="14" t="s">
        <v>37</v>
      </c>
      <c r="N74" s="14" t="s">
        <v>39</v>
      </c>
      <c r="O74" s="14" t="s">
        <v>69</v>
      </c>
      <c r="P74" s="23" t="s">
        <v>295</v>
      </c>
      <c r="Q74" s="23" t="s">
        <v>296</v>
      </c>
      <c r="R74" s="14"/>
      <c r="S74" s="15" t="str">
        <f aca="false">IF(N74="","",IF(N74=L74,"agree","DISAGREE"))</f>
        <v>agree</v>
      </c>
    </row>
    <row r="75" customFormat="false" ht="99.75" hidden="false" customHeight="true" outlineLevel="0" collapsed="false">
      <c r="A75" s="18" t="s">
        <v>297</v>
      </c>
      <c r="B75" s="18" t="s">
        <v>298</v>
      </c>
      <c r="C75" s="18" t="s">
        <v>255</v>
      </c>
      <c r="D75" s="18" t="s">
        <v>63</v>
      </c>
      <c r="E75" s="18" t="s">
        <v>64</v>
      </c>
      <c r="F75" s="18" t="s">
        <v>299</v>
      </c>
      <c r="G75" s="19" t="s">
        <v>300</v>
      </c>
      <c r="H75" s="20" t="s">
        <v>300</v>
      </c>
      <c r="I75" s="18" t="s">
        <v>301</v>
      </c>
      <c r="J75" s="18"/>
      <c r="K75" s="18"/>
      <c r="L75" s="18" t="s">
        <v>68</v>
      </c>
      <c r="M75" s="21" t="s">
        <v>37</v>
      </c>
      <c r="N75" s="21" t="s">
        <v>68</v>
      </c>
      <c r="O75" s="22" t="s">
        <v>69</v>
      </c>
      <c r="P75" s="21"/>
      <c r="Q75" s="21"/>
      <c r="R75" s="21"/>
      <c r="S75" s="22" t="str">
        <f aca="false">IF(N75="","",IF(N75=L75,"agree","DISAGREE"))</f>
        <v>agree</v>
      </c>
    </row>
    <row r="76" customFormat="false" ht="45.75" hidden="false" customHeight="true" outlineLevel="0" collapsed="false">
      <c r="A76" s="4" t="s">
        <v>302</v>
      </c>
      <c r="B76" s="4" t="s">
        <v>298</v>
      </c>
      <c r="C76" s="4" t="s">
        <v>255</v>
      </c>
      <c r="D76" s="4" t="s">
        <v>71</v>
      </c>
      <c r="E76" s="4" t="s">
        <v>64</v>
      </c>
      <c r="F76" s="4" t="s">
        <v>299</v>
      </c>
      <c r="G76" s="16" t="s">
        <v>303</v>
      </c>
      <c r="H76" s="17" t="s">
        <v>300</v>
      </c>
      <c r="I76" s="4" t="s">
        <v>73</v>
      </c>
      <c r="J76" s="4"/>
      <c r="K76" s="4"/>
      <c r="L76" s="4" t="s">
        <v>68</v>
      </c>
      <c r="M76" s="14" t="s">
        <v>37</v>
      </c>
      <c r="N76" s="14" t="s">
        <v>68</v>
      </c>
      <c r="O76" s="15" t="s">
        <v>69</v>
      </c>
      <c r="P76" s="14"/>
      <c r="Q76" s="14"/>
      <c r="R76" s="14"/>
      <c r="S76" s="15" t="str">
        <f aca="false">IF(N76="","",IF(N76=L76,"agree","DISAGREE"))</f>
        <v>agree</v>
      </c>
    </row>
    <row r="77" customFormat="false" ht="45.75" hidden="false" customHeight="true" outlineLevel="0" collapsed="false">
      <c r="A77" s="4" t="s">
        <v>304</v>
      </c>
      <c r="B77" s="4" t="s">
        <v>298</v>
      </c>
      <c r="C77" s="4" t="s">
        <v>255</v>
      </c>
      <c r="D77" s="4" t="s">
        <v>75</v>
      </c>
      <c r="E77" s="4" t="s">
        <v>64</v>
      </c>
      <c r="F77" s="4" t="s">
        <v>299</v>
      </c>
      <c r="G77" s="16" t="s">
        <v>305</v>
      </c>
      <c r="H77" s="17" t="s">
        <v>300</v>
      </c>
      <c r="I77" s="4" t="s">
        <v>77</v>
      </c>
      <c r="J77" s="4"/>
      <c r="K77" s="4"/>
      <c r="L77" s="4" t="s">
        <v>78</v>
      </c>
      <c r="M77" s="14" t="s">
        <v>37</v>
      </c>
      <c r="N77" s="14" t="s">
        <v>78</v>
      </c>
      <c r="O77" s="15" t="s">
        <v>69</v>
      </c>
      <c r="P77" s="14"/>
      <c r="Q77" s="14"/>
      <c r="R77" s="14"/>
      <c r="S77" s="15" t="str">
        <f aca="false">IF(N77="","",IF(N77=L77,"agree","DISAGREE"))</f>
        <v>agree</v>
      </c>
    </row>
    <row r="78" customFormat="false" ht="45.75" hidden="false" customHeight="true" outlineLevel="0" collapsed="false">
      <c r="A78" s="4" t="s">
        <v>306</v>
      </c>
      <c r="B78" s="4" t="s">
        <v>298</v>
      </c>
      <c r="C78" s="4" t="s">
        <v>255</v>
      </c>
      <c r="D78" s="4" t="s">
        <v>29</v>
      </c>
      <c r="E78" s="4" t="s">
        <v>64</v>
      </c>
      <c r="F78" s="4" t="s">
        <v>299</v>
      </c>
      <c r="G78" s="16" t="s">
        <v>307</v>
      </c>
      <c r="H78" s="17" t="s">
        <v>300</v>
      </c>
      <c r="I78" s="4" t="s">
        <v>81</v>
      </c>
      <c r="J78" s="17" t="s">
        <v>308</v>
      </c>
      <c r="K78" s="4" t="s">
        <v>309</v>
      </c>
      <c r="L78" s="4" t="s">
        <v>39</v>
      </c>
      <c r="M78" s="14" t="s">
        <v>37</v>
      </c>
      <c r="N78" s="14" t="s">
        <v>39</v>
      </c>
      <c r="O78" s="14" t="s">
        <v>41</v>
      </c>
      <c r="P78" s="14"/>
      <c r="Q78" s="14"/>
      <c r="R78" s="14"/>
      <c r="S78" s="15" t="str">
        <f aca="false">IF(N78="","",IF(N78=L78,"agree","DISAGREE"))</f>
        <v>agree</v>
      </c>
    </row>
    <row r="79" customFormat="false" ht="45.75" hidden="false" customHeight="true" outlineLevel="0" collapsed="false">
      <c r="A79" s="4" t="s">
        <v>310</v>
      </c>
      <c r="B79" s="4" t="s">
        <v>298</v>
      </c>
      <c r="C79" s="4" t="s">
        <v>255</v>
      </c>
      <c r="D79" s="4" t="s">
        <v>85</v>
      </c>
      <c r="E79" s="4" t="s">
        <v>64</v>
      </c>
      <c r="F79" s="4" t="s">
        <v>299</v>
      </c>
      <c r="G79" s="16" t="s">
        <v>311</v>
      </c>
      <c r="H79" s="17" t="s">
        <v>300</v>
      </c>
      <c r="I79" s="4" t="s">
        <v>87</v>
      </c>
      <c r="J79" s="17" t="s">
        <v>312</v>
      </c>
      <c r="K79" s="4" t="s">
        <v>313</v>
      </c>
      <c r="L79" s="4" t="s">
        <v>39</v>
      </c>
      <c r="M79" s="14" t="s">
        <v>37</v>
      </c>
      <c r="N79" s="14" t="s">
        <v>39</v>
      </c>
      <c r="O79" s="14" t="s">
        <v>41</v>
      </c>
      <c r="P79" s="14"/>
      <c r="Q79" s="14"/>
      <c r="R79" s="14"/>
      <c r="S79" s="15" t="str">
        <f aca="false">IF(N79="","",IF(N79=L79,"agree","DISAGREE"))</f>
        <v>agree</v>
      </c>
    </row>
    <row r="80" customFormat="false" ht="48.75" hidden="false" customHeight="true" outlineLevel="0" collapsed="false">
      <c r="A80" s="4" t="s">
        <v>314</v>
      </c>
      <c r="B80" s="4" t="s">
        <v>298</v>
      </c>
      <c r="C80" s="4" t="s">
        <v>255</v>
      </c>
      <c r="D80" s="4" t="s">
        <v>168</v>
      </c>
      <c r="E80" s="4" t="s">
        <v>168</v>
      </c>
      <c r="F80" s="4" t="s">
        <v>299</v>
      </c>
      <c r="G80" s="16" t="s">
        <v>315</v>
      </c>
      <c r="H80" s="17" t="s">
        <v>300</v>
      </c>
      <c r="I80" s="4" t="s">
        <v>170</v>
      </c>
      <c r="J80" s="4"/>
      <c r="K80" s="4"/>
      <c r="L80" s="4" t="s">
        <v>68</v>
      </c>
      <c r="M80" s="14" t="s">
        <v>37</v>
      </c>
      <c r="N80" s="14" t="s">
        <v>68</v>
      </c>
      <c r="O80" s="15" t="s">
        <v>69</v>
      </c>
      <c r="P80" s="14"/>
      <c r="Q80" s="14"/>
      <c r="R80" s="14"/>
      <c r="S80" s="15" t="str">
        <f aca="false">IF(N80="","",IF(N80=L80,"agree","DISAGREE"))</f>
        <v>agree</v>
      </c>
    </row>
    <row r="81" customFormat="false" ht="82.5" hidden="false" customHeight="true" outlineLevel="0" collapsed="false">
      <c r="A81" s="18" t="s">
        <v>316</v>
      </c>
      <c r="B81" s="18" t="s">
        <v>317</v>
      </c>
      <c r="C81" s="18" t="s">
        <v>255</v>
      </c>
      <c r="D81" s="18" t="s">
        <v>63</v>
      </c>
      <c r="E81" s="18" t="s">
        <v>64</v>
      </c>
      <c r="F81" s="18" t="s">
        <v>318</v>
      </c>
      <c r="G81" s="24" t="s">
        <v>319</v>
      </c>
      <c r="H81" s="18" t="s">
        <v>320</v>
      </c>
      <c r="I81" s="18" t="s">
        <v>321</v>
      </c>
      <c r="J81" s="18"/>
      <c r="K81" s="18"/>
      <c r="L81" s="18" t="s">
        <v>68</v>
      </c>
      <c r="M81" s="21" t="s">
        <v>37</v>
      </c>
      <c r="N81" s="21" t="s">
        <v>68</v>
      </c>
      <c r="O81" s="22" t="s">
        <v>69</v>
      </c>
      <c r="P81" s="21"/>
      <c r="Q81" s="21"/>
      <c r="R81" s="21"/>
      <c r="S81" s="22" t="str">
        <f aca="false">IF(N81="","",IF(N81=L81,"agree","DISAGREE"))</f>
        <v>agree</v>
      </c>
    </row>
    <row r="82" customFormat="false" ht="72" hidden="false" customHeight="true" outlineLevel="0" collapsed="false">
      <c r="A82" s="4" t="s">
        <v>322</v>
      </c>
      <c r="B82" s="4" t="s">
        <v>317</v>
      </c>
      <c r="C82" s="4" t="s">
        <v>255</v>
      </c>
      <c r="D82" s="4" t="s">
        <v>71</v>
      </c>
      <c r="E82" s="4" t="s">
        <v>64</v>
      </c>
      <c r="F82" s="4" t="s">
        <v>318</v>
      </c>
      <c r="G82" s="16" t="s">
        <v>323</v>
      </c>
      <c r="H82" s="4" t="s">
        <v>320</v>
      </c>
      <c r="I82" s="4" t="s">
        <v>73</v>
      </c>
      <c r="J82" s="4"/>
      <c r="K82" s="4"/>
      <c r="L82" s="4" t="s">
        <v>68</v>
      </c>
      <c r="M82" s="14" t="s">
        <v>37</v>
      </c>
      <c r="N82" s="14" t="s">
        <v>68</v>
      </c>
      <c r="O82" s="15" t="s">
        <v>69</v>
      </c>
      <c r="P82" s="14"/>
      <c r="Q82" s="14"/>
      <c r="R82" s="14"/>
      <c r="S82" s="15" t="str">
        <f aca="false">IF(N82="","",IF(N82=L82,"agree","DISAGREE"))</f>
        <v>agree</v>
      </c>
    </row>
    <row r="83" customFormat="false" ht="72" hidden="false" customHeight="true" outlineLevel="0" collapsed="false">
      <c r="A83" s="4" t="s">
        <v>324</v>
      </c>
      <c r="B83" s="4" t="s">
        <v>317</v>
      </c>
      <c r="C83" s="4" t="s">
        <v>255</v>
      </c>
      <c r="D83" s="4" t="s">
        <v>75</v>
      </c>
      <c r="E83" s="4" t="s">
        <v>64</v>
      </c>
      <c r="F83" s="4" t="s">
        <v>318</v>
      </c>
      <c r="G83" s="16" t="s">
        <v>325</v>
      </c>
      <c r="H83" s="4" t="s">
        <v>320</v>
      </c>
      <c r="I83" s="4" t="s">
        <v>77</v>
      </c>
      <c r="J83" s="4"/>
      <c r="K83" s="4"/>
      <c r="L83" s="4" t="s">
        <v>78</v>
      </c>
      <c r="M83" s="14" t="s">
        <v>37</v>
      </c>
      <c r="N83" s="14" t="s">
        <v>78</v>
      </c>
      <c r="O83" s="15" t="s">
        <v>69</v>
      </c>
      <c r="P83" s="14"/>
      <c r="Q83" s="14"/>
      <c r="R83" s="14"/>
      <c r="S83" s="15" t="str">
        <f aca="false">IF(N83="","",IF(N83=L83,"agree","DISAGREE"))</f>
        <v>agree</v>
      </c>
    </row>
    <row r="84" customFormat="false" ht="72" hidden="false" customHeight="true" outlineLevel="0" collapsed="false">
      <c r="A84" s="4" t="s">
        <v>326</v>
      </c>
      <c r="B84" s="4" t="s">
        <v>317</v>
      </c>
      <c r="C84" s="4" t="s">
        <v>255</v>
      </c>
      <c r="D84" s="4" t="s">
        <v>29</v>
      </c>
      <c r="E84" s="4" t="s">
        <v>64</v>
      </c>
      <c r="F84" s="4" t="s">
        <v>318</v>
      </c>
      <c r="G84" s="6" t="s">
        <v>327</v>
      </c>
      <c r="H84" s="4" t="s">
        <v>320</v>
      </c>
      <c r="I84" s="4" t="s">
        <v>81</v>
      </c>
      <c r="J84" s="17" t="s">
        <v>328</v>
      </c>
      <c r="K84" s="4" t="s">
        <v>329</v>
      </c>
      <c r="L84" s="4" t="s">
        <v>39</v>
      </c>
      <c r="M84" s="14" t="s">
        <v>37</v>
      </c>
      <c r="N84" s="14" t="s">
        <v>39</v>
      </c>
      <c r="O84" s="14" t="s">
        <v>41</v>
      </c>
      <c r="P84" s="14"/>
      <c r="Q84" s="14"/>
      <c r="R84" s="14"/>
      <c r="S84" s="15" t="str">
        <f aca="false">IF(N84="","",IF(N84=L84,"agree","DISAGREE"))</f>
        <v>agree</v>
      </c>
    </row>
    <row r="85" customFormat="false" ht="72" hidden="false" customHeight="true" outlineLevel="0" collapsed="false">
      <c r="A85" s="4" t="s">
        <v>330</v>
      </c>
      <c r="B85" s="4" t="s">
        <v>317</v>
      </c>
      <c r="C85" s="4" t="s">
        <v>255</v>
      </c>
      <c r="D85" s="4" t="s">
        <v>85</v>
      </c>
      <c r="E85" s="4" t="s">
        <v>64</v>
      </c>
      <c r="F85" s="4" t="s">
        <v>318</v>
      </c>
      <c r="G85" s="6" t="s">
        <v>331</v>
      </c>
      <c r="H85" s="4" t="s">
        <v>320</v>
      </c>
      <c r="I85" s="4" t="s">
        <v>87</v>
      </c>
      <c r="J85" s="17" t="s">
        <v>332</v>
      </c>
      <c r="K85" s="4" t="s">
        <v>333</v>
      </c>
      <c r="L85" s="4" t="s">
        <v>39</v>
      </c>
      <c r="M85" s="14" t="s">
        <v>37</v>
      </c>
      <c r="N85" s="14" t="s">
        <v>39</v>
      </c>
      <c r="O85" s="14" t="s">
        <v>41</v>
      </c>
      <c r="P85" s="14"/>
      <c r="Q85" s="14"/>
      <c r="R85" s="14"/>
      <c r="S85" s="15" t="str">
        <f aca="false">IF(N85="","",IF(N85=L85,"agree","DISAGREE"))</f>
        <v>agree</v>
      </c>
    </row>
    <row r="86" customFormat="false" ht="72" hidden="false" customHeight="true" outlineLevel="0" collapsed="false">
      <c r="A86" s="4" t="s">
        <v>334</v>
      </c>
      <c r="B86" s="4" t="s">
        <v>317</v>
      </c>
      <c r="C86" s="4" t="s">
        <v>255</v>
      </c>
      <c r="D86" s="4" t="s">
        <v>168</v>
      </c>
      <c r="E86" s="4" t="s">
        <v>168</v>
      </c>
      <c r="F86" s="4" t="s">
        <v>318</v>
      </c>
      <c r="G86" s="6" t="s">
        <v>335</v>
      </c>
      <c r="H86" s="4" t="s">
        <v>320</v>
      </c>
      <c r="I86" s="4" t="s">
        <v>170</v>
      </c>
      <c r="J86" s="4"/>
      <c r="K86" s="4"/>
      <c r="L86" s="4" t="s">
        <v>68</v>
      </c>
      <c r="M86" s="14" t="s">
        <v>37</v>
      </c>
      <c r="N86" s="14" t="s">
        <v>68</v>
      </c>
      <c r="O86" s="15" t="s">
        <v>69</v>
      </c>
      <c r="P86" s="14"/>
      <c r="Q86" s="14"/>
      <c r="R86" s="14"/>
      <c r="S86" s="15" t="str">
        <f aca="false">IF(N86="","",IF(N86=L86,"agree","DISAGREE"))</f>
        <v>agree</v>
      </c>
    </row>
    <row r="87" customFormat="false" ht="72" hidden="false" customHeight="true" outlineLevel="0" collapsed="false">
      <c r="A87" s="4" t="s">
        <v>336</v>
      </c>
      <c r="B87" s="4" t="s">
        <v>317</v>
      </c>
      <c r="C87" s="4" t="s">
        <v>255</v>
      </c>
      <c r="D87" s="4" t="s">
        <v>190</v>
      </c>
      <c r="E87" s="4" t="s">
        <v>190</v>
      </c>
      <c r="F87" s="4" t="s">
        <v>318</v>
      </c>
      <c r="G87" s="6" t="s">
        <v>337</v>
      </c>
      <c r="H87" s="4" t="s">
        <v>320</v>
      </c>
      <c r="I87" s="4" t="s">
        <v>192</v>
      </c>
      <c r="J87" s="4"/>
      <c r="K87" s="4"/>
      <c r="L87" s="4" t="s">
        <v>68</v>
      </c>
      <c r="M87" s="14" t="s">
        <v>37</v>
      </c>
      <c r="N87" s="14" t="s">
        <v>68</v>
      </c>
      <c r="O87" s="15" t="s">
        <v>69</v>
      </c>
      <c r="P87" s="14"/>
      <c r="Q87" s="14"/>
      <c r="R87" s="14"/>
      <c r="S87" s="15" t="str">
        <f aca="false">IF(N87="","",IF(N87=L87,"agree","DISAGREE"))</f>
        <v>agree</v>
      </c>
    </row>
    <row r="88" customFormat="false" ht="57" hidden="false" customHeight="true" outlineLevel="0" collapsed="false">
      <c r="A88" s="18" t="s">
        <v>338</v>
      </c>
      <c r="B88" s="18" t="s">
        <v>339</v>
      </c>
      <c r="C88" s="18" t="s">
        <v>255</v>
      </c>
      <c r="D88" s="18" t="s">
        <v>63</v>
      </c>
      <c r="E88" s="18" t="s">
        <v>64</v>
      </c>
      <c r="F88" s="18" t="s">
        <v>340</v>
      </c>
      <c r="G88" s="19" t="s">
        <v>341</v>
      </c>
      <c r="H88" s="20" t="s">
        <v>341</v>
      </c>
      <c r="I88" s="18" t="s">
        <v>67</v>
      </c>
      <c r="J88" s="18"/>
      <c r="K88" s="18"/>
      <c r="L88" s="18" t="s">
        <v>68</v>
      </c>
      <c r="M88" s="21" t="s">
        <v>37</v>
      </c>
      <c r="N88" s="21" t="s">
        <v>68</v>
      </c>
      <c r="O88" s="22" t="s">
        <v>69</v>
      </c>
      <c r="P88" s="21"/>
      <c r="Q88" s="21"/>
      <c r="R88" s="21"/>
      <c r="S88" s="22" t="str">
        <f aca="false">IF(N88="","",IF(N88=L88,"agree","DISAGREE"))</f>
        <v>agree</v>
      </c>
    </row>
    <row r="89" customFormat="false" ht="45.75" hidden="false" customHeight="true" outlineLevel="0" collapsed="false">
      <c r="A89" s="4" t="s">
        <v>342</v>
      </c>
      <c r="B89" s="4" t="s">
        <v>339</v>
      </c>
      <c r="C89" s="4" t="s">
        <v>255</v>
      </c>
      <c r="D89" s="4" t="s">
        <v>71</v>
      </c>
      <c r="E89" s="4" t="s">
        <v>64</v>
      </c>
      <c r="F89" s="4" t="s">
        <v>340</v>
      </c>
      <c r="G89" s="16" t="s">
        <v>343</v>
      </c>
      <c r="H89" s="17" t="s">
        <v>341</v>
      </c>
      <c r="I89" s="4" t="s">
        <v>73</v>
      </c>
      <c r="J89" s="4"/>
      <c r="K89" s="4"/>
      <c r="L89" s="4" t="s">
        <v>68</v>
      </c>
      <c r="M89" s="14" t="s">
        <v>37</v>
      </c>
      <c r="N89" s="14" t="s">
        <v>68</v>
      </c>
      <c r="O89" s="15" t="s">
        <v>69</v>
      </c>
      <c r="P89" s="14"/>
      <c r="Q89" s="14"/>
      <c r="R89" s="14"/>
      <c r="S89" s="15" t="str">
        <f aca="false">IF(N89="","",IF(N89=L89,"agree","DISAGREE"))</f>
        <v>agree</v>
      </c>
    </row>
    <row r="90" customFormat="false" ht="34.5" hidden="false" customHeight="true" outlineLevel="0" collapsed="false">
      <c r="A90" s="4" t="s">
        <v>344</v>
      </c>
      <c r="B90" s="4" t="s">
        <v>339</v>
      </c>
      <c r="C90" s="4" t="s">
        <v>255</v>
      </c>
      <c r="D90" s="4" t="s">
        <v>75</v>
      </c>
      <c r="E90" s="4" t="s">
        <v>64</v>
      </c>
      <c r="F90" s="4" t="s">
        <v>340</v>
      </c>
      <c r="G90" s="16" t="s">
        <v>345</v>
      </c>
      <c r="H90" s="17" t="s">
        <v>341</v>
      </c>
      <c r="I90" s="4" t="s">
        <v>77</v>
      </c>
      <c r="J90" s="4"/>
      <c r="K90" s="4"/>
      <c r="L90" s="4" t="s">
        <v>78</v>
      </c>
      <c r="M90" s="14" t="s">
        <v>37</v>
      </c>
      <c r="N90" s="14" t="s">
        <v>78</v>
      </c>
      <c r="O90" s="15" t="s">
        <v>69</v>
      </c>
      <c r="P90" s="14"/>
      <c r="Q90" s="14"/>
      <c r="R90" s="14"/>
      <c r="S90" s="15" t="str">
        <f aca="false">IF(N90="","",IF(N90=L90,"agree","DISAGREE"))</f>
        <v>agree</v>
      </c>
    </row>
    <row r="91" customFormat="false" ht="34.5" hidden="false" customHeight="true" outlineLevel="0" collapsed="false">
      <c r="A91" s="4" t="s">
        <v>346</v>
      </c>
      <c r="B91" s="4" t="s">
        <v>339</v>
      </c>
      <c r="C91" s="4" t="s">
        <v>255</v>
      </c>
      <c r="D91" s="4" t="s">
        <v>29</v>
      </c>
      <c r="E91" s="4" t="s">
        <v>64</v>
      </c>
      <c r="F91" s="4" t="s">
        <v>340</v>
      </c>
      <c r="G91" s="16" t="s">
        <v>347</v>
      </c>
      <c r="H91" s="17" t="s">
        <v>341</v>
      </c>
      <c r="I91" s="4" t="s">
        <v>81</v>
      </c>
      <c r="J91" s="17" t="s">
        <v>348</v>
      </c>
      <c r="K91" s="4" t="s">
        <v>349</v>
      </c>
      <c r="L91" s="4" t="s">
        <v>39</v>
      </c>
      <c r="M91" s="14" t="s">
        <v>37</v>
      </c>
      <c r="N91" s="14" t="s">
        <v>39</v>
      </c>
      <c r="O91" s="14" t="s">
        <v>41</v>
      </c>
      <c r="P91" s="14"/>
      <c r="Q91" s="14"/>
      <c r="R91" s="14"/>
      <c r="S91" s="15" t="str">
        <f aca="false">IF(N91="","",IF(N91=L91,"agree","DISAGREE"))</f>
        <v>agree</v>
      </c>
    </row>
    <row r="92" customFormat="false" ht="37.5" hidden="false" customHeight="true" outlineLevel="0" collapsed="false">
      <c r="A92" s="4" t="s">
        <v>350</v>
      </c>
      <c r="B92" s="4" t="s">
        <v>339</v>
      </c>
      <c r="C92" s="4" t="s">
        <v>255</v>
      </c>
      <c r="D92" s="4" t="s">
        <v>85</v>
      </c>
      <c r="E92" s="4" t="s">
        <v>64</v>
      </c>
      <c r="F92" s="4" t="s">
        <v>340</v>
      </c>
      <c r="G92" s="16" t="s">
        <v>351</v>
      </c>
      <c r="H92" s="17" t="s">
        <v>341</v>
      </c>
      <c r="I92" s="4" t="s">
        <v>87</v>
      </c>
      <c r="J92" s="17" t="s">
        <v>352</v>
      </c>
      <c r="K92" s="4" t="s">
        <v>353</v>
      </c>
      <c r="L92" s="4" t="s">
        <v>39</v>
      </c>
      <c r="M92" s="14" t="s">
        <v>37</v>
      </c>
      <c r="N92" s="14" t="s">
        <v>39</v>
      </c>
      <c r="O92" s="14" t="s">
        <v>41</v>
      </c>
      <c r="P92" s="14"/>
      <c r="Q92" s="14"/>
      <c r="R92" s="14"/>
      <c r="S92" s="15" t="str">
        <f aca="false">IF(N92="","",IF(N92=L92,"agree","DISAGREE"))</f>
        <v>agree</v>
      </c>
    </row>
    <row r="93" customFormat="false" ht="48.75" hidden="false" customHeight="true" outlineLevel="0" collapsed="false">
      <c r="A93" s="4" t="s">
        <v>354</v>
      </c>
      <c r="B93" s="4" t="s">
        <v>339</v>
      </c>
      <c r="C93" s="4" t="s">
        <v>255</v>
      </c>
      <c r="D93" s="4" t="s">
        <v>168</v>
      </c>
      <c r="E93" s="4" t="s">
        <v>168</v>
      </c>
      <c r="F93" s="4" t="s">
        <v>340</v>
      </c>
      <c r="G93" s="16" t="s">
        <v>355</v>
      </c>
      <c r="H93" s="17" t="s">
        <v>341</v>
      </c>
      <c r="I93" s="4" t="s">
        <v>170</v>
      </c>
      <c r="J93" s="4"/>
      <c r="K93" s="4"/>
      <c r="L93" s="4" t="s">
        <v>68</v>
      </c>
      <c r="M93" s="14" t="s">
        <v>37</v>
      </c>
      <c r="N93" s="14" t="s">
        <v>68</v>
      </c>
      <c r="O93" s="15" t="s">
        <v>69</v>
      </c>
      <c r="P93" s="14"/>
      <c r="Q93" s="14"/>
      <c r="R93" s="14"/>
      <c r="S93" s="15" t="str">
        <f aca="false">IF(N93="","",IF(N93=L93,"agree","DISAGREE"))</f>
        <v>agree</v>
      </c>
    </row>
    <row r="94" customFormat="false" ht="72" hidden="false" customHeight="true" outlineLevel="0" collapsed="false">
      <c r="A94" s="18" t="s">
        <v>356</v>
      </c>
      <c r="B94" s="18" t="s">
        <v>357</v>
      </c>
      <c r="C94" s="18" t="s">
        <v>255</v>
      </c>
      <c r="D94" s="18" t="s">
        <v>63</v>
      </c>
      <c r="E94" s="18" t="s">
        <v>64</v>
      </c>
      <c r="F94" s="18" t="s">
        <v>358</v>
      </c>
      <c r="G94" s="19" t="s">
        <v>359</v>
      </c>
      <c r="H94" s="20" t="s">
        <v>359</v>
      </c>
      <c r="I94" s="18" t="s">
        <v>67</v>
      </c>
      <c r="J94" s="18"/>
      <c r="K94" s="18"/>
      <c r="L94" s="18" t="s">
        <v>68</v>
      </c>
      <c r="M94" s="21" t="s">
        <v>37</v>
      </c>
      <c r="N94" s="21" t="s">
        <v>68</v>
      </c>
      <c r="O94" s="22" t="s">
        <v>69</v>
      </c>
      <c r="P94" s="21"/>
      <c r="Q94" s="21"/>
      <c r="R94" s="21"/>
      <c r="S94" s="22" t="str">
        <f aca="false">IF(N94="","",IF(N94=L94,"agree","DISAGREE"))</f>
        <v>agree</v>
      </c>
    </row>
    <row r="95" customFormat="false" ht="72" hidden="false" customHeight="true" outlineLevel="0" collapsed="false">
      <c r="A95" s="4" t="s">
        <v>360</v>
      </c>
      <c r="B95" s="4" t="s">
        <v>357</v>
      </c>
      <c r="C95" s="4" t="s">
        <v>255</v>
      </c>
      <c r="D95" s="4" t="s">
        <v>71</v>
      </c>
      <c r="E95" s="4" t="s">
        <v>64</v>
      </c>
      <c r="F95" s="4" t="s">
        <v>358</v>
      </c>
      <c r="G95" s="16" t="s">
        <v>361</v>
      </c>
      <c r="H95" s="17" t="s">
        <v>359</v>
      </c>
      <c r="I95" s="4" t="s">
        <v>73</v>
      </c>
      <c r="J95" s="4"/>
      <c r="K95" s="4"/>
      <c r="L95" s="4" t="s">
        <v>68</v>
      </c>
      <c r="M95" s="14" t="s">
        <v>37</v>
      </c>
      <c r="N95" s="14" t="s">
        <v>68</v>
      </c>
      <c r="O95" s="15" t="s">
        <v>69</v>
      </c>
      <c r="P95" s="14"/>
      <c r="Q95" s="14"/>
      <c r="R95" s="14"/>
      <c r="S95" s="15" t="str">
        <f aca="false">IF(N95="","",IF(N95=L95,"agree","DISAGREE"))</f>
        <v>agree</v>
      </c>
    </row>
    <row r="96" customFormat="false" ht="72" hidden="false" customHeight="true" outlineLevel="0" collapsed="false">
      <c r="A96" s="4" t="s">
        <v>362</v>
      </c>
      <c r="B96" s="4" t="s">
        <v>357</v>
      </c>
      <c r="C96" s="4" t="s">
        <v>255</v>
      </c>
      <c r="D96" s="4" t="s">
        <v>75</v>
      </c>
      <c r="E96" s="4" t="s">
        <v>64</v>
      </c>
      <c r="F96" s="4" t="s">
        <v>358</v>
      </c>
      <c r="G96" s="16" t="s">
        <v>363</v>
      </c>
      <c r="H96" s="17" t="s">
        <v>359</v>
      </c>
      <c r="I96" s="4" t="s">
        <v>77</v>
      </c>
      <c r="J96" s="4"/>
      <c r="K96" s="4"/>
      <c r="L96" s="4" t="s">
        <v>78</v>
      </c>
      <c r="M96" s="14" t="s">
        <v>37</v>
      </c>
      <c r="N96" s="14" t="s">
        <v>78</v>
      </c>
      <c r="O96" s="15" t="s">
        <v>69</v>
      </c>
      <c r="P96" s="14"/>
      <c r="Q96" s="14"/>
      <c r="R96" s="14"/>
      <c r="S96" s="15" t="str">
        <f aca="false">IF(N96="","",IF(N96=L96,"agree","DISAGREE"))</f>
        <v>agree</v>
      </c>
    </row>
    <row r="97" customFormat="false" ht="72" hidden="false" customHeight="true" outlineLevel="0" collapsed="false">
      <c r="A97" s="4" t="s">
        <v>364</v>
      </c>
      <c r="B97" s="4" t="s">
        <v>357</v>
      </c>
      <c r="C97" s="4" t="s">
        <v>255</v>
      </c>
      <c r="D97" s="4" t="s">
        <v>29</v>
      </c>
      <c r="E97" s="4" t="s">
        <v>64</v>
      </c>
      <c r="F97" s="4" t="s">
        <v>358</v>
      </c>
      <c r="G97" s="16" t="s">
        <v>365</v>
      </c>
      <c r="H97" s="17" t="s">
        <v>359</v>
      </c>
      <c r="I97" s="4" t="s">
        <v>81</v>
      </c>
      <c r="J97" s="4" t="s">
        <v>366</v>
      </c>
      <c r="K97" s="4" t="s">
        <v>367</v>
      </c>
      <c r="L97" s="4" t="s">
        <v>39</v>
      </c>
      <c r="M97" s="14" t="s">
        <v>37</v>
      </c>
      <c r="N97" s="14" t="s">
        <v>39</v>
      </c>
      <c r="O97" s="14" t="s">
        <v>41</v>
      </c>
      <c r="P97" s="14"/>
      <c r="Q97" s="14"/>
      <c r="R97" s="14"/>
      <c r="S97" s="15" t="str">
        <f aca="false">IF(N97="","",IF(N97=L97,"agree","DISAGREE"))</f>
        <v>agree</v>
      </c>
    </row>
    <row r="98" customFormat="false" ht="72" hidden="false" customHeight="true" outlineLevel="0" collapsed="false">
      <c r="A98" s="4" t="s">
        <v>368</v>
      </c>
      <c r="B98" s="4" t="s">
        <v>357</v>
      </c>
      <c r="C98" s="4" t="s">
        <v>255</v>
      </c>
      <c r="D98" s="4" t="s">
        <v>85</v>
      </c>
      <c r="E98" s="4" t="s">
        <v>64</v>
      </c>
      <c r="F98" s="4" t="s">
        <v>358</v>
      </c>
      <c r="G98" s="16" t="s">
        <v>369</v>
      </c>
      <c r="H98" s="17" t="s">
        <v>359</v>
      </c>
      <c r="I98" s="4" t="s">
        <v>87</v>
      </c>
      <c r="J98" s="17" t="s">
        <v>370</v>
      </c>
      <c r="K98" s="4" t="s">
        <v>371</v>
      </c>
      <c r="L98" s="4" t="s">
        <v>39</v>
      </c>
      <c r="M98" s="14" t="s">
        <v>37</v>
      </c>
      <c r="N98" s="14" t="s">
        <v>39</v>
      </c>
      <c r="O98" s="14" t="s">
        <v>41</v>
      </c>
      <c r="P98" s="14"/>
      <c r="Q98" s="14"/>
      <c r="R98" s="14"/>
      <c r="S98" s="15" t="str">
        <f aca="false">IF(N98="","",IF(N98=L98,"agree","DISAGREE"))</f>
        <v>agree</v>
      </c>
    </row>
    <row r="99" customFormat="false" ht="72" hidden="false" customHeight="true" outlineLevel="0" collapsed="false">
      <c r="A99" s="4" t="s">
        <v>372</v>
      </c>
      <c r="B99" s="4" t="s">
        <v>357</v>
      </c>
      <c r="C99" s="4" t="s">
        <v>255</v>
      </c>
      <c r="D99" s="4" t="s">
        <v>168</v>
      </c>
      <c r="E99" s="4" t="s">
        <v>168</v>
      </c>
      <c r="F99" s="4" t="s">
        <v>358</v>
      </c>
      <c r="G99" s="16" t="s">
        <v>373</v>
      </c>
      <c r="H99" s="17" t="s">
        <v>359</v>
      </c>
      <c r="I99" s="4" t="s">
        <v>170</v>
      </c>
      <c r="J99" s="4"/>
      <c r="K99" s="4"/>
      <c r="L99" s="4" t="s">
        <v>68</v>
      </c>
      <c r="M99" s="14" t="s">
        <v>37</v>
      </c>
      <c r="N99" s="14" t="s">
        <v>68</v>
      </c>
      <c r="O99" s="15" t="s">
        <v>69</v>
      </c>
      <c r="P99" s="14"/>
      <c r="Q99" s="14"/>
      <c r="R99" s="14"/>
      <c r="S99" s="15" t="str">
        <f aca="false">IF(N99="","",IF(N99=L99,"agree","DISAGREE"))</f>
        <v>agree</v>
      </c>
    </row>
    <row r="100" customFormat="false" ht="72" hidden="false" customHeight="true" outlineLevel="0" collapsed="false">
      <c r="A100" s="4" t="s">
        <v>374</v>
      </c>
      <c r="B100" s="4" t="s">
        <v>357</v>
      </c>
      <c r="C100" s="4" t="s">
        <v>255</v>
      </c>
      <c r="D100" s="4" t="s">
        <v>190</v>
      </c>
      <c r="E100" s="4" t="s">
        <v>190</v>
      </c>
      <c r="F100" s="4" t="s">
        <v>358</v>
      </c>
      <c r="G100" s="16" t="s">
        <v>375</v>
      </c>
      <c r="H100" s="17" t="s">
        <v>359</v>
      </c>
      <c r="I100" s="4" t="s">
        <v>192</v>
      </c>
      <c r="J100" s="4"/>
      <c r="K100" s="4"/>
      <c r="L100" s="4" t="s">
        <v>68</v>
      </c>
      <c r="M100" s="14" t="s">
        <v>37</v>
      </c>
      <c r="N100" s="14" t="s">
        <v>68</v>
      </c>
      <c r="O100" s="15" t="s">
        <v>69</v>
      </c>
      <c r="P100" s="14"/>
      <c r="Q100" s="14"/>
      <c r="R100" s="14"/>
      <c r="S100" s="15" t="str">
        <f aca="false">IF(N100="","",IF(N100=L100,"agree","DISAGREE"))</f>
        <v>agree</v>
      </c>
    </row>
    <row r="101" customFormat="false" ht="57" hidden="false" customHeight="true" outlineLevel="0" collapsed="false">
      <c r="A101" s="18" t="s">
        <v>376</v>
      </c>
      <c r="B101" s="18" t="s">
        <v>377</v>
      </c>
      <c r="C101" s="18" t="s">
        <v>378</v>
      </c>
      <c r="D101" s="18" t="s">
        <v>63</v>
      </c>
      <c r="E101" s="18" t="s">
        <v>64</v>
      </c>
      <c r="F101" s="18" t="s">
        <v>379</v>
      </c>
      <c r="G101" s="19" t="s">
        <v>380</v>
      </c>
      <c r="H101" s="20" t="s">
        <v>380</v>
      </c>
      <c r="I101" s="18" t="s">
        <v>67</v>
      </c>
      <c r="J101" s="18"/>
      <c r="K101" s="18"/>
      <c r="L101" s="18" t="s">
        <v>68</v>
      </c>
      <c r="M101" s="21" t="s">
        <v>37</v>
      </c>
      <c r="N101" s="21" t="s">
        <v>68</v>
      </c>
      <c r="O101" s="22" t="s">
        <v>69</v>
      </c>
      <c r="P101" s="21"/>
      <c r="Q101" s="21"/>
      <c r="R101" s="21"/>
      <c r="S101" s="22" t="str">
        <f aca="false">IF(N101="","",IF(N101=L101,"agree","DISAGREE"))</f>
        <v>agree</v>
      </c>
    </row>
    <row r="102" customFormat="false" ht="45.75" hidden="false" customHeight="true" outlineLevel="0" collapsed="false">
      <c r="A102" s="4" t="s">
        <v>381</v>
      </c>
      <c r="B102" s="4" t="s">
        <v>377</v>
      </c>
      <c r="C102" s="4" t="s">
        <v>378</v>
      </c>
      <c r="D102" s="4" t="s">
        <v>71</v>
      </c>
      <c r="E102" s="4" t="s">
        <v>64</v>
      </c>
      <c r="F102" s="4" t="s">
        <v>379</v>
      </c>
      <c r="G102" s="16" t="s">
        <v>382</v>
      </c>
      <c r="H102" s="17" t="s">
        <v>380</v>
      </c>
      <c r="I102" s="4" t="s">
        <v>73</v>
      </c>
      <c r="J102" s="4"/>
      <c r="K102" s="4"/>
      <c r="L102" s="4" t="s">
        <v>68</v>
      </c>
      <c r="M102" s="14" t="s">
        <v>37</v>
      </c>
      <c r="N102" s="14" t="s">
        <v>68</v>
      </c>
      <c r="O102" s="15" t="s">
        <v>69</v>
      </c>
      <c r="P102" s="14"/>
      <c r="Q102" s="14"/>
      <c r="R102" s="14"/>
      <c r="S102" s="15" t="str">
        <f aca="false">IF(N102="","",IF(N102=L102,"agree","DISAGREE"))</f>
        <v>agree</v>
      </c>
    </row>
    <row r="103" customFormat="false" ht="34.5" hidden="false" customHeight="true" outlineLevel="0" collapsed="false">
      <c r="A103" s="4" t="s">
        <v>383</v>
      </c>
      <c r="B103" s="4" t="s">
        <v>377</v>
      </c>
      <c r="C103" s="4" t="s">
        <v>378</v>
      </c>
      <c r="D103" s="4" t="s">
        <v>75</v>
      </c>
      <c r="E103" s="4" t="s">
        <v>64</v>
      </c>
      <c r="F103" s="4" t="s">
        <v>379</v>
      </c>
      <c r="G103" s="16" t="s">
        <v>384</v>
      </c>
      <c r="H103" s="17" t="s">
        <v>380</v>
      </c>
      <c r="I103" s="4" t="s">
        <v>77</v>
      </c>
      <c r="J103" s="4"/>
      <c r="K103" s="4"/>
      <c r="L103" s="4" t="s">
        <v>78</v>
      </c>
      <c r="M103" s="14" t="s">
        <v>37</v>
      </c>
      <c r="N103" s="14" t="s">
        <v>78</v>
      </c>
      <c r="O103" s="15" t="s">
        <v>69</v>
      </c>
      <c r="P103" s="14"/>
      <c r="Q103" s="14"/>
      <c r="R103" s="14"/>
      <c r="S103" s="15" t="str">
        <f aca="false">IF(N103="","",IF(N103=L103,"agree","DISAGREE"))</f>
        <v>agree</v>
      </c>
    </row>
    <row r="104" customFormat="false" ht="34.5" hidden="false" customHeight="true" outlineLevel="0" collapsed="false">
      <c r="A104" s="4" t="s">
        <v>385</v>
      </c>
      <c r="B104" s="4" t="s">
        <v>377</v>
      </c>
      <c r="C104" s="4" t="s">
        <v>378</v>
      </c>
      <c r="D104" s="4" t="s">
        <v>138</v>
      </c>
      <c r="E104" s="4" t="s">
        <v>64</v>
      </c>
      <c r="F104" s="4" t="s">
        <v>379</v>
      </c>
      <c r="G104" s="16" t="s">
        <v>386</v>
      </c>
      <c r="H104" s="17" t="s">
        <v>380</v>
      </c>
      <c r="I104" s="4" t="s">
        <v>140</v>
      </c>
      <c r="J104" s="4"/>
      <c r="K104" s="4"/>
      <c r="L104" s="4" t="s">
        <v>68</v>
      </c>
      <c r="M104" s="14" t="s">
        <v>37</v>
      </c>
      <c r="N104" s="14" t="s">
        <v>68</v>
      </c>
      <c r="O104" s="15" t="s">
        <v>69</v>
      </c>
      <c r="P104" s="14"/>
      <c r="Q104" s="14"/>
      <c r="R104" s="14"/>
      <c r="S104" s="15" t="str">
        <f aca="false">IF(N104="","",IF(N104=L104,"agree","DISAGREE"))</f>
        <v>agree</v>
      </c>
    </row>
    <row r="105" customFormat="false" ht="34.5" hidden="false" customHeight="true" outlineLevel="0" collapsed="false">
      <c r="A105" s="4" t="s">
        <v>387</v>
      </c>
      <c r="B105" s="4" t="s">
        <v>377</v>
      </c>
      <c r="C105" s="4" t="s">
        <v>378</v>
      </c>
      <c r="D105" s="4" t="s">
        <v>29</v>
      </c>
      <c r="E105" s="4" t="s">
        <v>64</v>
      </c>
      <c r="F105" s="4" t="s">
        <v>379</v>
      </c>
      <c r="G105" s="16" t="s">
        <v>388</v>
      </c>
      <c r="H105" s="17" t="s">
        <v>380</v>
      </c>
      <c r="I105" s="4" t="s">
        <v>81</v>
      </c>
      <c r="J105" s="17" t="s">
        <v>389</v>
      </c>
      <c r="K105" s="4" t="s">
        <v>390</v>
      </c>
      <c r="L105" s="4" t="s">
        <v>39</v>
      </c>
      <c r="M105" s="14" t="s">
        <v>37</v>
      </c>
      <c r="N105" s="14" t="s">
        <v>39</v>
      </c>
      <c r="O105" s="14" t="s">
        <v>41</v>
      </c>
      <c r="P105" s="14"/>
      <c r="Q105" s="14"/>
      <c r="R105" s="14"/>
      <c r="S105" s="15" t="str">
        <f aca="false">IF(N105="","",IF(N105=L105,"agree","DISAGREE"))</f>
        <v>agree</v>
      </c>
    </row>
    <row r="106" customFormat="false" ht="34.5" hidden="false" customHeight="true" outlineLevel="0" collapsed="false">
      <c r="A106" s="4" t="s">
        <v>391</v>
      </c>
      <c r="B106" s="4" t="s">
        <v>377</v>
      </c>
      <c r="C106" s="4" t="s">
        <v>378</v>
      </c>
      <c r="D106" s="4" t="s">
        <v>85</v>
      </c>
      <c r="E106" s="4" t="s">
        <v>64</v>
      </c>
      <c r="F106" s="4" t="s">
        <v>379</v>
      </c>
      <c r="G106" s="16" t="s">
        <v>392</v>
      </c>
      <c r="H106" s="17" t="s">
        <v>380</v>
      </c>
      <c r="I106" s="4" t="s">
        <v>87</v>
      </c>
      <c r="J106" s="17" t="s">
        <v>393</v>
      </c>
      <c r="K106" s="4" t="s">
        <v>394</v>
      </c>
      <c r="L106" s="4" t="s">
        <v>39</v>
      </c>
      <c r="M106" s="14" t="s">
        <v>37</v>
      </c>
      <c r="N106" s="14" t="s">
        <v>39</v>
      </c>
      <c r="O106" s="14" t="s">
        <v>41</v>
      </c>
      <c r="P106" s="14"/>
      <c r="Q106" s="14"/>
      <c r="R106" s="14"/>
      <c r="S106" s="15" t="str">
        <f aca="false">IF(N106="","",IF(N106=L106,"agree","DISAGREE"))</f>
        <v>agree</v>
      </c>
    </row>
    <row r="107" customFormat="false" ht="34.5" hidden="false" customHeight="true" outlineLevel="0" collapsed="false">
      <c r="A107" s="4" t="s">
        <v>395</v>
      </c>
      <c r="B107" s="4" t="s">
        <v>377</v>
      </c>
      <c r="C107" s="4" t="s">
        <v>378</v>
      </c>
      <c r="D107" s="4" t="s">
        <v>91</v>
      </c>
      <c r="E107" s="4" t="s">
        <v>64</v>
      </c>
      <c r="F107" s="4" t="s">
        <v>379</v>
      </c>
      <c r="G107" s="16" t="s">
        <v>396</v>
      </c>
      <c r="H107" s="17" t="s">
        <v>380</v>
      </c>
      <c r="I107" s="4" t="s">
        <v>93</v>
      </c>
      <c r="J107" s="4"/>
      <c r="K107" s="4"/>
      <c r="L107" s="4" t="s">
        <v>68</v>
      </c>
      <c r="M107" s="14" t="s">
        <v>37</v>
      </c>
      <c r="N107" s="14" t="s">
        <v>68</v>
      </c>
      <c r="O107" s="15" t="s">
        <v>69</v>
      </c>
      <c r="P107" s="14"/>
      <c r="Q107" s="14"/>
      <c r="R107" s="14"/>
      <c r="S107" s="15" t="str">
        <f aca="false">IF(N107="","",IF(N107=L107,"agree","DISAGREE"))</f>
        <v>agree</v>
      </c>
    </row>
    <row r="108" customFormat="false" ht="48.75" hidden="false" customHeight="true" outlineLevel="0" collapsed="false">
      <c r="A108" s="4" t="s">
        <v>397</v>
      </c>
      <c r="B108" s="4" t="s">
        <v>377</v>
      </c>
      <c r="C108" s="4" t="s">
        <v>378</v>
      </c>
      <c r="D108" s="4" t="s">
        <v>168</v>
      </c>
      <c r="E108" s="4" t="s">
        <v>168</v>
      </c>
      <c r="F108" s="4" t="s">
        <v>379</v>
      </c>
      <c r="G108" s="16" t="s">
        <v>398</v>
      </c>
      <c r="H108" s="17" t="s">
        <v>380</v>
      </c>
      <c r="I108" s="4" t="s">
        <v>170</v>
      </c>
      <c r="J108" s="4"/>
      <c r="K108" s="4"/>
      <c r="L108" s="4" t="s">
        <v>68</v>
      </c>
      <c r="M108" s="14" t="s">
        <v>37</v>
      </c>
      <c r="N108" s="14" t="s">
        <v>68</v>
      </c>
      <c r="O108" s="15" t="s">
        <v>69</v>
      </c>
      <c r="P108" s="14"/>
      <c r="Q108" s="14"/>
      <c r="R108" s="14"/>
      <c r="S108" s="15" t="str">
        <f aca="false">IF(N108="","",IF(N108=L108,"agree","DISAGREE"))</f>
        <v>agree</v>
      </c>
    </row>
    <row r="109" customFormat="false" ht="57" hidden="false" customHeight="true" outlineLevel="0" collapsed="false">
      <c r="A109" s="18" t="s">
        <v>399</v>
      </c>
      <c r="B109" s="18" t="s">
        <v>400</v>
      </c>
      <c r="C109" s="18" t="s">
        <v>378</v>
      </c>
      <c r="D109" s="18" t="s">
        <v>63</v>
      </c>
      <c r="E109" s="18" t="s">
        <v>64</v>
      </c>
      <c r="F109" s="18" t="s">
        <v>401</v>
      </c>
      <c r="G109" s="19" t="s">
        <v>402</v>
      </c>
      <c r="H109" s="20" t="s">
        <v>402</v>
      </c>
      <c r="I109" s="18" t="s">
        <v>67</v>
      </c>
      <c r="J109" s="18"/>
      <c r="K109" s="18"/>
      <c r="L109" s="18" t="s">
        <v>68</v>
      </c>
      <c r="M109" s="21" t="s">
        <v>37</v>
      </c>
      <c r="N109" s="21" t="s">
        <v>68</v>
      </c>
      <c r="O109" s="22" t="s">
        <v>69</v>
      </c>
      <c r="P109" s="21"/>
      <c r="Q109" s="21"/>
      <c r="R109" s="21"/>
      <c r="S109" s="22" t="str">
        <f aca="false">IF(N109="","",IF(N109=L109,"agree","DISAGREE"))</f>
        <v>agree</v>
      </c>
    </row>
    <row r="110" customFormat="false" ht="45.75" hidden="false" customHeight="true" outlineLevel="0" collapsed="false">
      <c r="A110" s="4" t="s">
        <v>403</v>
      </c>
      <c r="B110" s="4" t="s">
        <v>400</v>
      </c>
      <c r="C110" s="4" t="s">
        <v>378</v>
      </c>
      <c r="D110" s="4" t="s">
        <v>71</v>
      </c>
      <c r="E110" s="4" t="s">
        <v>64</v>
      </c>
      <c r="F110" s="4" t="s">
        <v>401</v>
      </c>
      <c r="G110" s="16" t="s">
        <v>404</v>
      </c>
      <c r="H110" s="17" t="s">
        <v>402</v>
      </c>
      <c r="I110" s="4" t="s">
        <v>73</v>
      </c>
      <c r="J110" s="4"/>
      <c r="K110" s="4"/>
      <c r="L110" s="4" t="s">
        <v>68</v>
      </c>
      <c r="M110" s="14" t="s">
        <v>37</v>
      </c>
      <c r="N110" s="14" t="s">
        <v>68</v>
      </c>
      <c r="O110" s="15" t="s">
        <v>69</v>
      </c>
      <c r="P110" s="14"/>
      <c r="Q110" s="14"/>
      <c r="R110" s="14"/>
      <c r="S110" s="15" t="str">
        <f aca="false">IF(N110="","",IF(N110=L110,"agree","DISAGREE"))</f>
        <v>agree</v>
      </c>
    </row>
    <row r="111" customFormat="false" ht="34.5" hidden="false" customHeight="true" outlineLevel="0" collapsed="false">
      <c r="A111" s="4" t="s">
        <v>405</v>
      </c>
      <c r="B111" s="4" t="s">
        <v>400</v>
      </c>
      <c r="C111" s="4" t="s">
        <v>378</v>
      </c>
      <c r="D111" s="4" t="s">
        <v>75</v>
      </c>
      <c r="E111" s="4" t="s">
        <v>64</v>
      </c>
      <c r="F111" s="4" t="s">
        <v>401</v>
      </c>
      <c r="G111" s="16" t="s">
        <v>406</v>
      </c>
      <c r="H111" s="17" t="s">
        <v>402</v>
      </c>
      <c r="I111" s="4" t="s">
        <v>77</v>
      </c>
      <c r="J111" s="4"/>
      <c r="K111" s="4"/>
      <c r="L111" s="4" t="s">
        <v>78</v>
      </c>
      <c r="M111" s="14" t="s">
        <v>37</v>
      </c>
      <c r="N111" s="14" t="s">
        <v>78</v>
      </c>
      <c r="O111" s="15" t="s">
        <v>69</v>
      </c>
      <c r="P111" s="14"/>
      <c r="Q111" s="14"/>
      <c r="R111" s="14"/>
      <c r="S111" s="15" t="str">
        <f aca="false">IF(N111="","",IF(N111=L111,"agree","DISAGREE"))</f>
        <v>agree</v>
      </c>
    </row>
    <row r="112" customFormat="false" ht="34.5" hidden="false" customHeight="true" outlineLevel="0" collapsed="false">
      <c r="A112" s="4" t="s">
        <v>407</v>
      </c>
      <c r="B112" s="4" t="s">
        <v>400</v>
      </c>
      <c r="C112" s="4" t="s">
        <v>378</v>
      </c>
      <c r="D112" s="4" t="s">
        <v>29</v>
      </c>
      <c r="E112" s="4" t="s">
        <v>64</v>
      </c>
      <c r="F112" s="4" t="s">
        <v>401</v>
      </c>
      <c r="G112" s="16" t="s">
        <v>408</v>
      </c>
      <c r="H112" s="17" t="s">
        <v>402</v>
      </c>
      <c r="I112" s="4" t="s">
        <v>81</v>
      </c>
      <c r="J112" s="17" t="s">
        <v>409</v>
      </c>
      <c r="K112" s="4" t="s">
        <v>410</v>
      </c>
      <c r="L112" s="4" t="s">
        <v>39</v>
      </c>
      <c r="M112" s="14" t="s">
        <v>37</v>
      </c>
      <c r="N112" s="14" t="s">
        <v>39</v>
      </c>
      <c r="O112" s="14" t="s">
        <v>41</v>
      </c>
      <c r="P112" s="14"/>
      <c r="Q112" s="14"/>
      <c r="R112" s="14"/>
      <c r="S112" s="15" t="str">
        <f aca="false">IF(N112="","",IF(N112=L112,"agree","DISAGREE"))</f>
        <v>agree</v>
      </c>
    </row>
    <row r="113" customFormat="false" ht="34.5" hidden="false" customHeight="true" outlineLevel="0" collapsed="false">
      <c r="A113" s="4" t="s">
        <v>411</v>
      </c>
      <c r="B113" s="4" t="s">
        <v>400</v>
      </c>
      <c r="C113" s="4" t="s">
        <v>378</v>
      </c>
      <c r="D113" s="4" t="s">
        <v>85</v>
      </c>
      <c r="E113" s="4" t="s">
        <v>64</v>
      </c>
      <c r="F113" s="4" t="s">
        <v>401</v>
      </c>
      <c r="G113" s="16" t="s">
        <v>412</v>
      </c>
      <c r="H113" s="17" t="s">
        <v>402</v>
      </c>
      <c r="I113" s="4" t="s">
        <v>87</v>
      </c>
      <c r="J113" s="17" t="s">
        <v>413</v>
      </c>
      <c r="K113" s="4" t="s">
        <v>414</v>
      </c>
      <c r="L113" s="4" t="s">
        <v>39</v>
      </c>
      <c r="M113" s="14" t="s">
        <v>37</v>
      </c>
      <c r="N113" s="14" t="s">
        <v>39</v>
      </c>
      <c r="O113" s="14" t="s">
        <v>41</v>
      </c>
      <c r="P113" s="14"/>
      <c r="Q113" s="14"/>
      <c r="R113" s="14"/>
      <c r="S113" s="15" t="str">
        <f aca="false">IF(N113="","",IF(N113=L113,"agree","DISAGREE"))</f>
        <v>agree</v>
      </c>
    </row>
    <row r="114" customFormat="false" ht="34.5" hidden="false" customHeight="true" outlineLevel="0" collapsed="false">
      <c r="A114" s="4" t="s">
        <v>415</v>
      </c>
      <c r="B114" s="4" t="s">
        <v>400</v>
      </c>
      <c r="C114" s="4" t="s">
        <v>378</v>
      </c>
      <c r="D114" s="4" t="s">
        <v>91</v>
      </c>
      <c r="E114" s="4" t="s">
        <v>64</v>
      </c>
      <c r="F114" s="4" t="s">
        <v>401</v>
      </c>
      <c r="G114" s="16" t="s">
        <v>416</v>
      </c>
      <c r="H114" s="17" t="s">
        <v>402</v>
      </c>
      <c r="I114" s="4" t="s">
        <v>93</v>
      </c>
      <c r="J114" s="4"/>
      <c r="K114" s="4"/>
      <c r="L114" s="4" t="s">
        <v>68</v>
      </c>
      <c r="M114" s="14" t="s">
        <v>37</v>
      </c>
      <c r="N114" s="14" t="s">
        <v>68</v>
      </c>
      <c r="O114" s="15" t="s">
        <v>69</v>
      </c>
      <c r="P114" s="14"/>
      <c r="Q114" s="14"/>
      <c r="R114" s="14"/>
      <c r="S114" s="15" t="str">
        <f aca="false">IF(N114="","",IF(N114=L114,"agree","DISAGREE"))</f>
        <v>agree</v>
      </c>
    </row>
    <row r="115" customFormat="false" ht="48.75" hidden="false" customHeight="true" outlineLevel="0" collapsed="false">
      <c r="A115" s="4" t="s">
        <v>417</v>
      </c>
      <c r="B115" s="4" t="s">
        <v>400</v>
      </c>
      <c r="C115" s="4" t="s">
        <v>378</v>
      </c>
      <c r="D115" s="4" t="s">
        <v>168</v>
      </c>
      <c r="E115" s="4" t="s">
        <v>168</v>
      </c>
      <c r="F115" s="4" t="s">
        <v>401</v>
      </c>
      <c r="G115" s="16" t="s">
        <v>418</v>
      </c>
      <c r="H115" s="17" t="s">
        <v>402</v>
      </c>
      <c r="I115" s="4" t="s">
        <v>170</v>
      </c>
      <c r="J115" s="4"/>
      <c r="K115" s="4"/>
      <c r="L115" s="4" t="s">
        <v>68</v>
      </c>
      <c r="M115" s="14" t="s">
        <v>37</v>
      </c>
      <c r="N115" s="14" t="s">
        <v>68</v>
      </c>
      <c r="O115" s="15" t="s">
        <v>69</v>
      </c>
      <c r="P115" s="14"/>
      <c r="Q115" s="14"/>
      <c r="R115" s="14"/>
      <c r="S115" s="15" t="str">
        <f aca="false">IF(N115="","",IF(N115=L115,"agree","DISAGREE"))</f>
        <v>agree</v>
      </c>
    </row>
    <row r="116" customFormat="false" ht="63" hidden="false" customHeight="true" outlineLevel="0" collapsed="false">
      <c r="A116" s="4" t="s">
        <v>419</v>
      </c>
      <c r="B116" s="4" t="s">
        <v>400</v>
      </c>
      <c r="C116" s="4" t="s">
        <v>378</v>
      </c>
      <c r="D116" s="4" t="s">
        <v>190</v>
      </c>
      <c r="E116" s="4" t="s">
        <v>190</v>
      </c>
      <c r="F116" s="4" t="s">
        <v>401</v>
      </c>
      <c r="G116" s="16" t="s">
        <v>420</v>
      </c>
      <c r="H116" s="17" t="s">
        <v>402</v>
      </c>
      <c r="I116" s="4" t="s">
        <v>192</v>
      </c>
      <c r="J116" s="4"/>
      <c r="K116" s="4"/>
      <c r="L116" s="4" t="s">
        <v>68</v>
      </c>
      <c r="M116" s="14" t="s">
        <v>37</v>
      </c>
      <c r="N116" s="14" t="s">
        <v>68</v>
      </c>
      <c r="O116" s="15" t="s">
        <v>69</v>
      </c>
      <c r="P116" s="14"/>
      <c r="Q116" s="14"/>
      <c r="R116" s="14"/>
      <c r="S116" s="15" t="str">
        <f aca="false">IF(N116="","",IF(N116=L116,"agree","DISAGREE"))</f>
        <v>agree</v>
      </c>
    </row>
    <row r="117" customFormat="false" ht="57" hidden="false" customHeight="true" outlineLevel="0" collapsed="false">
      <c r="A117" s="18" t="s">
        <v>421</v>
      </c>
      <c r="B117" s="18" t="s">
        <v>422</v>
      </c>
      <c r="C117" s="18" t="s">
        <v>378</v>
      </c>
      <c r="D117" s="18" t="s">
        <v>63</v>
      </c>
      <c r="E117" s="18" t="s">
        <v>64</v>
      </c>
      <c r="F117" s="18" t="s">
        <v>423</v>
      </c>
      <c r="G117" s="19" t="s">
        <v>424</v>
      </c>
      <c r="H117" s="20" t="s">
        <v>424</v>
      </c>
      <c r="I117" s="18" t="s">
        <v>67</v>
      </c>
      <c r="J117" s="18"/>
      <c r="K117" s="18"/>
      <c r="L117" s="18" t="s">
        <v>68</v>
      </c>
      <c r="M117" s="21" t="s">
        <v>37</v>
      </c>
      <c r="N117" s="21" t="s">
        <v>68</v>
      </c>
      <c r="O117" s="22" t="s">
        <v>69</v>
      </c>
      <c r="P117" s="21"/>
      <c r="Q117" s="21"/>
      <c r="R117" s="21"/>
      <c r="S117" s="22" t="str">
        <f aca="false">IF(N117="","",IF(N117=L117,"agree","DISAGREE"))</f>
        <v>agree</v>
      </c>
    </row>
    <row r="118" customFormat="false" ht="45.75" hidden="false" customHeight="true" outlineLevel="0" collapsed="false">
      <c r="A118" s="4" t="s">
        <v>425</v>
      </c>
      <c r="B118" s="4" t="s">
        <v>422</v>
      </c>
      <c r="C118" s="4" t="s">
        <v>378</v>
      </c>
      <c r="D118" s="4" t="s">
        <v>71</v>
      </c>
      <c r="E118" s="4" t="s">
        <v>64</v>
      </c>
      <c r="F118" s="4" t="s">
        <v>423</v>
      </c>
      <c r="G118" s="16" t="s">
        <v>426</v>
      </c>
      <c r="H118" s="17" t="s">
        <v>424</v>
      </c>
      <c r="I118" s="4" t="s">
        <v>73</v>
      </c>
      <c r="J118" s="4"/>
      <c r="K118" s="4"/>
      <c r="L118" s="4" t="s">
        <v>68</v>
      </c>
      <c r="M118" s="14" t="s">
        <v>37</v>
      </c>
      <c r="N118" s="14" t="s">
        <v>68</v>
      </c>
      <c r="O118" s="15" t="s">
        <v>69</v>
      </c>
      <c r="P118" s="14"/>
      <c r="Q118" s="14"/>
      <c r="R118" s="14"/>
      <c r="S118" s="15" t="str">
        <f aca="false">IF(N118="","",IF(N118=L118,"agree","DISAGREE"))</f>
        <v>agree</v>
      </c>
    </row>
    <row r="119" customFormat="false" ht="34.5" hidden="false" customHeight="true" outlineLevel="0" collapsed="false">
      <c r="A119" s="4" t="s">
        <v>427</v>
      </c>
      <c r="B119" s="4" t="s">
        <v>422</v>
      </c>
      <c r="C119" s="4" t="s">
        <v>378</v>
      </c>
      <c r="D119" s="4" t="s">
        <v>75</v>
      </c>
      <c r="E119" s="4" t="s">
        <v>64</v>
      </c>
      <c r="F119" s="4" t="s">
        <v>423</v>
      </c>
      <c r="G119" s="16" t="s">
        <v>428</v>
      </c>
      <c r="H119" s="17" t="s">
        <v>424</v>
      </c>
      <c r="I119" s="4" t="s">
        <v>77</v>
      </c>
      <c r="J119" s="4"/>
      <c r="K119" s="4"/>
      <c r="L119" s="4" t="s">
        <v>78</v>
      </c>
      <c r="M119" s="14" t="s">
        <v>37</v>
      </c>
      <c r="N119" s="14" t="s">
        <v>78</v>
      </c>
      <c r="O119" s="15" t="s">
        <v>69</v>
      </c>
      <c r="P119" s="14"/>
      <c r="Q119" s="14"/>
      <c r="R119" s="14"/>
      <c r="S119" s="15" t="str">
        <f aca="false">IF(N119="","",IF(N119=L119,"agree","DISAGREE"))</f>
        <v>agree</v>
      </c>
    </row>
    <row r="120" customFormat="false" ht="34.5" hidden="false" customHeight="true" outlineLevel="0" collapsed="false">
      <c r="A120" s="4" t="s">
        <v>429</v>
      </c>
      <c r="B120" s="4" t="s">
        <v>422</v>
      </c>
      <c r="C120" s="4" t="s">
        <v>378</v>
      </c>
      <c r="D120" s="4" t="s">
        <v>29</v>
      </c>
      <c r="E120" s="4" t="s">
        <v>64</v>
      </c>
      <c r="F120" s="4" t="s">
        <v>423</v>
      </c>
      <c r="G120" s="16" t="s">
        <v>430</v>
      </c>
      <c r="H120" s="17" t="s">
        <v>424</v>
      </c>
      <c r="I120" s="4" t="s">
        <v>81</v>
      </c>
      <c r="J120" s="17" t="s">
        <v>431</v>
      </c>
      <c r="K120" s="4" t="s">
        <v>432</v>
      </c>
      <c r="L120" s="4" t="s">
        <v>39</v>
      </c>
      <c r="M120" s="14" t="s">
        <v>37</v>
      </c>
      <c r="N120" s="14" t="s">
        <v>39</v>
      </c>
      <c r="O120" s="14" t="s">
        <v>41</v>
      </c>
      <c r="P120" s="14"/>
      <c r="Q120" s="14"/>
      <c r="R120" s="14"/>
      <c r="S120" s="15" t="str">
        <f aca="false">IF(N120="","",IF(N120=L120,"agree","DISAGREE"))</f>
        <v>agree</v>
      </c>
    </row>
    <row r="121" customFormat="false" ht="34.5" hidden="false" customHeight="true" outlineLevel="0" collapsed="false">
      <c r="A121" s="4" t="s">
        <v>433</v>
      </c>
      <c r="B121" s="4" t="s">
        <v>422</v>
      </c>
      <c r="C121" s="4" t="s">
        <v>378</v>
      </c>
      <c r="D121" s="4" t="s">
        <v>85</v>
      </c>
      <c r="E121" s="4" t="s">
        <v>64</v>
      </c>
      <c r="F121" s="4" t="s">
        <v>423</v>
      </c>
      <c r="G121" s="16" t="s">
        <v>434</v>
      </c>
      <c r="H121" s="17" t="s">
        <v>424</v>
      </c>
      <c r="I121" s="4" t="s">
        <v>87</v>
      </c>
      <c r="J121" s="17" t="s">
        <v>435</v>
      </c>
      <c r="K121" s="4" t="s">
        <v>436</v>
      </c>
      <c r="L121" s="4" t="s">
        <v>39</v>
      </c>
      <c r="M121" s="14" t="s">
        <v>37</v>
      </c>
      <c r="N121" s="14" t="s">
        <v>39</v>
      </c>
      <c r="O121" s="14" t="s">
        <v>41</v>
      </c>
      <c r="P121" s="14"/>
      <c r="Q121" s="14"/>
      <c r="R121" s="14"/>
      <c r="S121" s="15" t="str">
        <f aca="false">IF(N121="","",IF(N121=L121,"agree","DISAGREE"))</f>
        <v>agree</v>
      </c>
    </row>
    <row r="122" customFormat="false" ht="48.75" hidden="false" customHeight="true" outlineLevel="0" collapsed="false">
      <c r="A122" s="4" t="s">
        <v>437</v>
      </c>
      <c r="B122" s="4" t="s">
        <v>422</v>
      </c>
      <c r="C122" s="4" t="s">
        <v>378</v>
      </c>
      <c r="D122" s="4" t="s">
        <v>168</v>
      </c>
      <c r="E122" s="4" t="s">
        <v>168</v>
      </c>
      <c r="F122" s="4" t="s">
        <v>423</v>
      </c>
      <c r="G122" s="16" t="s">
        <v>438</v>
      </c>
      <c r="H122" s="17" t="s">
        <v>424</v>
      </c>
      <c r="I122" s="4" t="s">
        <v>170</v>
      </c>
      <c r="J122" s="4"/>
      <c r="K122" s="4"/>
      <c r="L122" s="4" t="s">
        <v>68</v>
      </c>
      <c r="M122" s="14" t="s">
        <v>37</v>
      </c>
      <c r="N122" s="14" t="s">
        <v>68</v>
      </c>
      <c r="O122" s="15" t="s">
        <v>69</v>
      </c>
      <c r="P122" s="14"/>
      <c r="Q122" s="14"/>
      <c r="R122" s="14"/>
      <c r="S122" s="15" t="str">
        <f aca="false">IF(N122="","",IF(N122=L122,"agree","DISAGREE"))</f>
        <v>agree</v>
      </c>
    </row>
    <row r="123" customFormat="false" ht="63" hidden="false" customHeight="true" outlineLevel="0" collapsed="false">
      <c r="A123" s="4" t="s">
        <v>439</v>
      </c>
      <c r="B123" s="4" t="s">
        <v>422</v>
      </c>
      <c r="C123" s="4" t="s">
        <v>378</v>
      </c>
      <c r="D123" s="4" t="s">
        <v>190</v>
      </c>
      <c r="E123" s="4" t="s">
        <v>190</v>
      </c>
      <c r="F123" s="4" t="s">
        <v>423</v>
      </c>
      <c r="G123" s="16" t="s">
        <v>440</v>
      </c>
      <c r="H123" s="17" t="s">
        <v>424</v>
      </c>
      <c r="I123" s="4" t="s">
        <v>192</v>
      </c>
      <c r="J123" s="4"/>
      <c r="K123" s="4"/>
      <c r="L123" s="4" t="s">
        <v>68</v>
      </c>
      <c r="M123" s="14" t="s">
        <v>37</v>
      </c>
      <c r="N123" s="14" t="s">
        <v>68</v>
      </c>
      <c r="O123" s="15" t="s">
        <v>69</v>
      </c>
      <c r="P123" s="14"/>
      <c r="Q123" s="14"/>
      <c r="R123" s="14"/>
      <c r="S123" s="15" t="str">
        <f aca="false">IF(N123="","",IF(N123=L123,"agree","DISAGREE"))</f>
        <v>agree</v>
      </c>
    </row>
    <row r="124" customFormat="false" ht="57" hidden="false" customHeight="true" outlineLevel="0" collapsed="false">
      <c r="A124" s="18" t="s">
        <v>441</v>
      </c>
      <c r="B124" s="18" t="s">
        <v>442</v>
      </c>
      <c r="C124" s="18" t="s">
        <v>378</v>
      </c>
      <c r="D124" s="18" t="s">
        <v>63</v>
      </c>
      <c r="E124" s="18" t="s">
        <v>64</v>
      </c>
      <c r="F124" s="18" t="s">
        <v>443</v>
      </c>
      <c r="G124" s="19" t="s">
        <v>444</v>
      </c>
      <c r="H124" s="20" t="s">
        <v>444</v>
      </c>
      <c r="I124" s="18" t="s">
        <v>67</v>
      </c>
      <c r="J124" s="18"/>
      <c r="K124" s="18"/>
      <c r="L124" s="18" t="s">
        <v>68</v>
      </c>
      <c r="M124" s="21" t="s">
        <v>37</v>
      </c>
      <c r="N124" s="21" t="s">
        <v>68</v>
      </c>
      <c r="O124" s="22" t="s">
        <v>69</v>
      </c>
      <c r="P124" s="21"/>
      <c r="Q124" s="21"/>
      <c r="R124" s="21"/>
      <c r="S124" s="22" t="str">
        <f aca="false">IF(N124="","",IF(N124=L124,"agree","DISAGREE"))</f>
        <v>agree</v>
      </c>
    </row>
    <row r="125" customFormat="false" ht="45.75" hidden="false" customHeight="true" outlineLevel="0" collapsed="false">
      <c r="A125" s="4" t="s">
        <v>445</v>
      </c>
      <c r="B125" s="4" t="s">
        <v>442</v>
      </c>
      <c r="C125" s="4" t="s">
        <v>378</v>
      </c>
      <c r="D125" s="4" t="s">
        <v>71</v>
      </c>
      <c r="E125" s="4" t="s">
        <v>64</v>
      </c>
      <c r="F125" s="4" t="s">
        <v>443</v>
      </c>
      <c r="G125" s="16" t="s">
        <v>446</v>
      </c>
      <c r="H125" s="17" t="s">
        <v>444</v>
      </c>
      <c r="I125" s="4" t="s">
        <v>73</v>
      </c>
      <c r="J125" s="4"/>
      <c r="K125" s="4"/>
      <c r="L125" s="4" t="s">
        <v>68</v>
      </c>
      <c r="M125" s="14" t="s">
        <v>37</v>
      </c>
      <c r="N125" s="14" t="s">
        <v>68</v>
      </c>
      <c r="O125" s="15" t="s">
        <v>69</v>
      </c>
      <c r="P125" s="14"/>
      <c r="Q125" s="14"/>
      <c r="R125" s="14"/>
      <c r="S125" s="15" t="str">
        <f aca="false">IF(N125="","",IF(N125=L125,"agree","DISAGREE"))</f>
        <v>agree</v>
      </c>
    </row>
    <row r="126" customFormat="false" ht="45.75" hidden="false" customHeight="true" outlineLevel="0" collapsed="false">
      <c r="A126" s="4" t="s">
        <v>447</v>
      </c>
      <c r="B126" s="4" t="s">
        <v>442</v>
      </c>
      <c r="C126" s="4" t="s">
        <v>378</v>
      </c>
      <c r="D126" s="4" t="s">
        <v>75</v>
      </c>
      <c r="E126" s="4" t="s">
        <v>64</v>
      </c>
      <c r="F126" s="4" t="s">
        <v>443</v>
      </c>
      <c r="G126" s="16" t="s">
        <v>448</v>
      </c>
      <c r="H126" s="17" t="s">
        <v>444</v>
      </c>
      <c r="I126" s="4" t="s">
        <v>77</v>
      </c>
      <c r="J126" s="4"/>
      <c r="K126" s="4"/>
      <c r="L126" s="4" t="s">
        <v>78</v>
      </c>
      <c r="M126" s="14" t="s">
        <v>37</v>
      </c>
      <c r="N126" s="14" t="s">
        <v>78</v>
      </c>
      <c r="O126" s="15" t="s">
        <v>69</v>
      </c>
      <c r="P126" s="14"/>
      <c r="Q126" s="14"/>
      <c r="R126" s="14"/>
      <c r="S126" s="15" t="str">
        <f aca="false">IF(N126="","",IF(N126=L126,"agree","DISAGREE"))</f>
        <v>agree</v>
      </c>
    </row>
    <row r="127" customFormat="false" ht="45.75" hidden="false" customHeight="true" outlineLevel="0" collapsed="false">
      <c r="A127" s="4" t="s">
        <v>449</v>
      </c>
      <c r="B127" s="4" t="s">
        <v>442</v>
      </c>
      <c r="C127" s="4" t="s">
        <v>378</v>
      </c>
      <c r="D127" s="4" t="s">
        <v>29</v>
      </c>
      <c r="E127" s="4" t="s">
        <v>64</v>
      </c>
      <c r="F127" s="4" t="s">
        <v>443</v>
      </c>
      <c r="G127" s="16" t="s">
        <v>450</v>
      </c>
      <c r="H127" s="17" t="s">
        <v>444</v>
      </c>
      <c r="I127" s="4" t="s">
        <v>81</v>
      </c>
      <c r="J127" s="17" t="s">
        <v>451</v>
      </c>
      <c r="K127" s="4" t="s">
        <v>452</v>
      </c>
      <c r="L127" s="4" t="s">
        <v>39</v>
      </c>
      <c r="M127" s="14" t="s">
        <v>37</v>
      </c>
      <c r="N127" s="14" t="s">
        <v>39</v>
      </c>
      <c r="O127" s="14" t="s">
        <v>41</v>
      </c>
      <c r="P127" s="14"/>
      <c r="Q127" s="14"/>
      <c r="R127" s="14"/>
      <c r="S127" s="15" t="str">
        <f aca="false">IF(N127="","",IF(N127=L127,"agree","DISAGREE"))</f>
        <v>agree</v>
      </c>
    </row>
    <row r="128" customFormat="false" ht="45.75" hidden="false" customHeight="true" outlineLevel="0" collapsed="false">
      <c r="A128" s="4" t="s">
        <v>453</v>
      </c>
      <c r="B128" s="4" t="s">
        <v>442</v>
      </c>
      <c r="C128" s="4" t="s">
        <v>378</v>
      </c>
      <c r="D128" s="4" t="s">
        <v>85</v>
      </c>
      <c r="E128" s="4" t="s">
        <v>64</v>
      </c>
      <c r="F128" s="4" t="s">
        <v>443</v>
      </c>
      <c r="G128" s="16" t="s">
        <v>454</v>
      </c>
      <c r="H128" s="17" t="s">
        <v>444</v>
      </c>
      <c r="I128" s="4" t="s">
        <v>87</v>
      </c>
      <c r="J128" s="17" t="s">
        <v>455</v>
      </c>
      <c r="K128" s="4" t="s">
        <v>456</v>
      </c>
      <c r="L128" s="4" t="s">
        <v>39</v>
      </c>
      <c r="M128" s="14" t="s">
        <v>37</v>
      </c>
      <c r="N128" s="14" t="s">
        <v>39</v>
      </c>
      <c r="O128" s="14" t="s">
        <v>41</v>
      </c>
      <c r="P128" s="14"/>
      <c r="Q128" s="14"/>
      <c r="R128" s="14"/>
      <c r="S128" s="15" t="str">
        <f aca="false">IF(N128="","",IF(N128=L128,"agree","DISAGREE"))</f>
        <v>agree</v>
      </c>
    </row>
    <row r="129" customFormat="false" ht="48.75" hidden="false" customHeight="true" outlineLevel="0" collapsed="false">
      <c r="A129" s="4" t="s">
        <v>457</v>
      </c>
      <c r="B129" s="4" t="s">
        <v>442</v>
      </c>
      <c r="C129" s="4" t="s">
        <v>378</v>
      </c>
      <c r="D129" s="4" t="s">
        <v>168</v>
      </c>
      <c r="E129" s="4" t="s">
        <v>168</v>
      </c>
      <c r="F129" s="4" t="s">
        <v>443</v>
      </c>
      <c r="G129" s="16" t="s">
        <v>458</v>
      </c>
      <c r="H129" s="17" t="s">
        <v>444</v>
      </c>
      <c r="I129" s="4" t="s">
        <v>170</v>
      </c>
      <c r="J129" s="4"/>
      <c r="K129" s="4"/>
      <c r="L129" s="4" t="s">
        <v>68</v>
      </c>
      <c r="M129" s="14" t="s">
        <v>37</v>
      </c>
      <c r="N129" s="14" t="s">
        <v>68</v>
      </c>
      <c r="O129" s="15" t="s">
        <v>69</v>
      </c>
      <c r="P129" s="14"/>
      <c r="Q129" s="14"/>
      <c r="R129" s="14"/>
      <c r="S129" s="15" t="str">
        <f aca="false">IF(N129="","",IF(N129=L129,"agree","DISAGREE"))</f>
        <v>agree</v>
      </c>
    </row>
    <row r="130" customFormat="false" ht="63" hidden="false" customHeight="true" outlineLevel="0" collapsed="false">
      <c r="A130" s="4" t="s">
        <v>459</v>
      </c>
      <c r="B130" s="4" t="s">
        <v>442</v>
      </c>
      <c r="C130" s="4" t="s">
        <v>378</v>
      </c>
      <c r="D130" s="4" t="s">
        <v>190</v>
      </c>
      <c r="E130" s="4" t="s">
        <v>190</v>
      </c>
      <c r="F130" s="4" t="s">
        <v>443</v>
      </c>
      <c r="G130" s="16" t="s">
        <v>460</v>
      </c>
      <c r="H130" s="17" t="s">
        <v>444</v>
      </c>
      <c r="I130" s="4" t="s">
        <v>192</v>
      </c>
      <c r="J130" s="4"/>
      <c r="K130" s="4"/>
      <c r="L130" s="4" t="s">
        <v>68</v>
      </c>
      <c r="M130" s="14" t="s">
        <v>37</v>
      </c>
      <c r="N130" s="14" t="s">
        <v>68</v>
      </c>
      <c r="O130" s="15" t="s">
        <v>69</v>
      </c>
      <c r="P130" s="14"/>
      <c r="Q130" s="14"/>
      <c r="R130" s="14"/>
      <c r="S130" s="15" t="str">
        <f aca="false">IF(N130="","",IF(N130=L130,"agree","DISAGREE"))</f>
        <v>agree</v>
      </c>
    </row>
    <row r="131" customFormat="false" ht="57" hidden="false" customHeight="true" outlineLevel="0" collapsed="false">
      <c r="A131" s="18" t="s">
        <v>461</v>
      </c>
      <c r="B131" s="18" t="s">
        <v>462</v>
      </c>
      <c r="C131" s="18" t="s">
        <v>378</v>
      </c>
      <c r="D131" s="18" t="s">
        <v>63</v>
      </c>
      <c r="E131" s="18" t="s">
        <v>64</v>
      </c>
      <c r="F131" s="18" t="s">
        <v>463</v>
      </c>
      <c r="G131" s="19" t="s">
        <v>464</v>
      </c>
      <c r="H131" s="20" t="s">
        <v>464</v>
      </c>
      <c r="I131" s="18" t="s">
        <v>67</v>
      </c>
      <c r="J131" s="18"/>
      <c r="K131" s="18"/>
      <c r="L131" s="18" t="s">
        <v>68</v>
      </c>
      <c r="M131" s="21" t="s">
        <v>37</v>
      </c>
      <c r="N131" s="21" t="s">
        <v>68</v>
      </c>
      <c r="O131" s="22" t="s">
        <v>69</v>
      </c>
      <c r="P131" s="21"/>
      <c r="Q131" s="21"/>
      <c r="R131" s="21"/>
      <c r="S131" s="22" t="str">
        <f aca="false">IF(N131="","",IF(N131=L131,"agree","DISAGREE"))</f>
        <v>agree</v>
      </c>
    </row>
    <row r="132" customFormat="false" ht="45.75" hidden="false" customHeight="true" outlineLevel="0" collapsed="false">
      <c r="A132" s="4" t="s">
        <v>465</v>
      </c>
      <c r="B132" s="4" t="s">
        <v>462</v>
      </c>
      <c r="C132" s="4" t="s">
        <v>378</v>
      </c>
      <c r="D132" s="4" t="s">
        <v>71</v>
      </c>
      <c r="E132" s="4" t="s">
        <v>64</v>
      </c>
      <c r="F132" s="4" t="s">
        <v>463</v>
      </c>
      <c r="G132" s="16" t="s">
        <v>466</v>
      </c>
      <c r="H132" s="17" t="s">
        <v>464</v>
      </c>
      <c r="I132" s="4" t="s">
        <v>73</v>
      </c>
      <c r="J132" s="4"/>
      <c r="K132" s="4"/>
      <c r="L132" s="4" t="s">
        <v>68</v>
      </c>
      <c r="M132" s="14" t="s">
        <v>37</v>
      </c>
      <c r="N132" s="14" t="s">
        <v>68</v>
      </c>
      <c r="O132" s="15" t="s">
        <v>69</v>
      </c>
      <c r="P132" s="14"/>
      <c r="Q132" s="14"/>
      <c r="R132" s="14"/>
      <c r="S132" s="15" t="str">
        <f aca="false">IF(N132="","",IF(N132=L132,"agree","DISAGREE"))</f>
        <v>agree</v>
      </c>
    </row>
    <row r="133" customFormat="false" ht="34.5" hidden="false" customHeight="true" outlineLevel="0" collapsed="false">
      <c r="A133" s="4" t="s">
        <v>467</v>
      </c>
      <c r="B133" s="4" t="s">
        <v>462</v>
      </c>
      <c r="C133" s="4" t="s">
        <v>378</v>
      </c>
      <c r="D133" s="4" t="s">
        <v>75</v>
      </c>
      <c r="E133" s="4" t="s">
        <v>64</v>
      </c>
      <c r="F133" s="4" t="s">
        <v>463</v>
      </c>
      <c r="G133" s="16" t="s">
        <v>468</v>
      </c>
      <c r="H133" s="17" t="s">
        <v>464</v>
      </c>
      <c r="I133" s="4" t="s">
        <v>77</v>
      </c>
      <c r="J133" s="4"/>
      <c r="K133" s="4"/>
      <c r="L133" s="4" t="s">
        <v>78</v>
      </c>
      <c r="M133" s="14" t="s">
        <v>37</v>
      </c>
      <c r="N133" s="14" t="s">
        <v>78</v>
      </c>
      <c r="O133" s="15" t="s">
        <v>69</v>
      </c>
      <c r="P133" s="14"/>
      <c r="Q133" s="14"/>
      <c r="R133" s="14"/>
      <c r="S133" s="15" t="str">
        <f aca="false">IF(N133="","",IF(N133=L133,"agree","DISAGREE"))</f>
        <v>agree</v>
      </c>
    </row>
    <row r="134" customFormat="false" ht="34.5" hidden="false" customHeight="true" outlineLevel="0" collapsed="false">
      <c r="A134" s="4" t="s">
        <v>469</v>
      </c>
      <c r="B134" s="4" t="s">
        <v>462</v>
      </c>
      <c r="C134" s="4" t="s">
        <v>378</v>
      </c>
      <c r="D134" s="4" t="s">
        <v>29</v>
      </c>
      <c r="E134" s="4" t="s">
        <v>64</v>
      </c>
      <c r="F134" s="4" t="s">
        <v>463</v>
      </c>
      <c r="G134" s="16" t="s">
        <v>470</v>
      </c>
      <c r="H134" s="17" t="s">
        <v>464</v>
      </c>
      <c r="I134" s="4" t="s">
        <v>81</v>
      </c>
      <c r="J134" s="17" t="s">
        <v>471</v>
      </c>
      <c r="K134" s="4" t="s">
        <v>472</v>
      </c>
      <c r="L134" s="4" t="s">
        <v>39</v>
      </c>
      <c r="M134" s="14" t="s">
        <v>37</v>
      </c>
      <c r="N134" s="14" t="s">
        <v>39</v>
      </c>
      <c r="O134" s="14" t="s">
        <v>41</v>
      </c>
      <c r="P134" s="14"/>
      <c r="Q134" s="14"/>
      <c r="R134" s="14"/>
      <c r="S134" s="15" t="str">
        <f aca="false">IF(N134="","",IF(N134=L134,"agree","DISAGREE"))</f>
        <v>agree</v>
      </c>
    </row>
    <row r="135" customFormat="false" ht="40.5" hidden="false" customHeight="true" outlineLevel="0" collapsed="false">
      <c r="A135" s="4" t="s">
        <v>473</v>
      </c>
      <c r="B135" s="4" t="s">
        <v>462</v>
      </c>
      <c r="C135" s="4" t="s">
        <v>378</v>
      </c>
      <c r="D135" s="4" t="s">
        <v>85</v>
      </c>
      <c r="E135" s="4" t="s">
        <v>64</v>
      </c>
      <c r="F135" s="4" t="s">
        <v>463</v>
      </c>
      <c r="G135" s="16" t="s">
        <v>474</v>
      </c>
      <c r="H135" s="17" t="s">
        <v>464</v>
      </c>
      <c r="I135" s="4" t="s">
        <v>87</v>
      </c>
      <c r="J135" s="17" t="s">
        <v>475</v>
      </c>
      <c r="K135" s="4" t="s">
        <v>476</v>
      </c>
      <c r="L135" s="4" t="s">
        <v>39</v>
      </c>
      <c r="M135" s="14" t="s">
        <v>37</v>
      </c>
      <c r="N135" s="14" t="s">
        <v>39</v>
      </c>
      <c r="O135" s="14" t="s">
        <v>41</v>
      </c>
      <c r="P135" s="14"/>
      <c r="Q135" s="14"/>
      <c r="R135" s="14"/>
      <c r="S135" s="15" t="str">
        <f aca="false">IF(N135="","",IF(N135=L135,"agree","DISAGREE"))</f>
        <v>agree</v>
      </c>
    </row>
    <row r="136" customFormat="false" ht="48.75" hidden="false" customHeight="true" outlineLevel="0" collapsed="false">
      <c r="A136" s="4" t="s">
        <v>477</v>
      </c>
      <c r="B136" s="4" t="s">
        <v>462</v>
      </c>
      <c r="C136" s="4" t="s">
        <v>378</v>
      </c>
      <c r="D136" s="4" t="s">
        <v>168</v>
      </c>
      <c r="E136" s="4" t="s">
        <v>168</v>
      </c>
      <c r="F136" s="4" t="s">
        <v>463</v>
      </c>
      <c r="G136" s="16" t="s">
        <v>478</v>
      </c>
      <c r="H136" s="17" t="s">
        <v>464</v>
      </c>
      <c r="I136" s="4" t="s">
        <v>170</v>
      </c>
      <c r="J136" s="4"/>
      <c r="K136" s="4"/>
      <c r="L136" s="4" t="s">
        <v>68</v>
      </c>
      <c r="M136" s="14" t="s">
        <v>37</v>
      </c>
      <c r="N136" s="14" t="s">
        <v>68</v>
      </c>
      <c r="O136" s="15" t="s">
        <v>69</v>
      </c>
      <c r="P136" s="14"/>
      <c r="Q136" s="14"/>
      <c r="R136" s="14"/>
      <c r="S136" s="15" t="str">
        <f aca="false">IF(N136="","",IF(N136=L136,"agree","DISAGREE"))</f>
        <v>agree</v>
      </c>
    </row>
    <row r="137" customFormat="false" ht="63" hidden="false" customHeight="true" outlineLevel="0" collapsed="false">
      <c r="A137" s="4" t="s">
        <v>479</v>
      </c>
      <c r="B137" s="4" t="s">
        <v>462</v>
      </c>
      <c r="C137" s="4" t="s">
        <v>378</v>
      </c>
      <c r="D137" s="4" t="s">
        <v>190</v>
      </c>
      <c r="E137" s="4" t="s">
        <v>190</v>
      </c>
      <c r="F137" s="4" t="s">
        <v>463</v>
      </c>
      <c r="G137" s="16" t="s">
        <v>480</v>
      </c>
      <c r="H137" s="17" t="s">
        <v>464</v>
      </c>
      <c r="I137" s="4" t="s">
        <v>192</v>
      </c>
      <c r="J137" s="4"/>
      <c r="K137" s="4"/>
      <c r="L137" s="4" t="s">
        <v>68</v>
      </c>
      <c r="M137" s="14" t="s">
        <v>37</v>
      </c>
      <c r="N137" s="14" t="s">
        <v>68</v>
      </c>
      <c r="O137" s="15" t="s">
        <v>69</v>
      </c>
      <c r="P137" s="14"/>
      <c r="Q137" s="14"/>
      <c r="R137" s="14"/>
      <c r="S137" s="15" t="str">
        <f aca="false">IF(N137="","",IF(N137=L137,"agree","DISAGREE"))</f>
        <v>agree</v>
      </c>
    </row>
    <row r="138" customFormat="false" ht="111" hidden="false" customHeight="true" outlineLevel="0" collapsed="false">
      <c r="A138" s="18" t="s">
        <v>481</v>
      </c>
      <c r="B138" s="18" t="s">
        <v>482</v>
      </c>
      <c r="C138" s="18" t="s">
        <v>483</v>
      </c>
      <c r="D138" s="18" t="s">
        <v>63</v>
      </c>
      <c r="E138" s="18" t="s">
        <v>64</v>
      </c>
      <c r="F138" s="18" t="s">
        <v>484</v>
      </c>
      <c r="G138" s="19" t="s">
        <v>485</v>
      </c>
      <c r="H138" s="20" t="s">
        <v>485</v>
      </c>
      <c r="I138" s="18" t="s">
        <v>486</v>
      </c>
      <c r="J138" s="18"/>
      <c r="K138" s="18"/>
      <c r="L138" s="18" t="s">
        <v>68</v>
      </c>
      <c r="M138" s="21" t="s">
        <v>37</v>
      </c>
      <c r="N138" s="21" t="s">
        <v>68</v>
      </c>
      <c r="O138" s="22" t="s">
        <v>69</v>
      </c>
      <c r="P138" s="21"/>
      <c r="Q138" s="21"/>
      <c r="R138" s="21"/>
      <c r="S138" s="22" t="str">
        <f aca="false">IF(N138="","",IF(N138=L138,"agree","DISAGREE"))</f>
        <v>agree</v>
      </c>
    </row>
    <row r="139" customFormat="false" ht="45.75" hidden="false" customHeight="true" outlineLevel="0" collapsed="false">
      <c r="A139" s="4" t="s">
        <v>487</v>
      </c>
      <c r="B139" s="4" t="s">
        <v>482</v>
      </c>
      <c r="C139" s="4" t="s">
        <v>483</v>
      </c>
      <c r="D139" s="4" t="s">
        <v>71</v>
      </c>
      <c r="E139" s="4" t="s">
        <v>64</v>
      </c>
      <c r="F139" s="4" t="s">
        <v>484</v>
      </c>
      <c r="G139" s="16" t="s">
        <v>488</v>
      </c>
      <c r="H139" s="17" t="s">
        <v>485</v>
      </c>
      <c r="I139" s="4" t="s">
        <v>73</v>
      </c>
      <c r="J139" s="4"/>
      <c r="K139" s="4"/>
      <c r="L139" s="4" t="s">
        <v>68</v>
      </c>
      <c r="M139" s="14" t="s">
        <v>37</v>
      </c>
      <c r="N139" s="14" t="s">
        <v>68</v>
      </c>
      <c r="O139" s="15" t="s">
        <v>69</v>
      </c>
      <c r="P139" s="14"/>
      <c r="Q139" s="14"/>
      <c r="R139" s="14"/>
      <c r="S139" s="15" t="str">
        <f aca="false">IF(N139="","",IF(N139=L139,"agree","DISAGREE"))</f>
        <v>agree</v>
      </c>
    </row>
    <row r="140" customFormat="false" ht="34.5" hidden="false" customHeight="true" outlineLevel="0" collapsed="false">
      <c r="A140" s="4" t="s">
        <v>489</v>
      </c>
      <c r="B140" s="4" t="s">
        <v>482</v>
      </c>
      <c r="C140" s="4" t="s">
        <v>483</v>
      </c>
      <c r="D140" s="4" t="s">
        <v>75</v>
      </c>
      <c r="E140" s="4" t="s">
        <v>64</v>
      </c>
      <c r="F140" s="4" t="s">
        <v>484</v>
      </c>
      <c r="G140" s="16" t="s">
        <v>490</v>
      </c>
      <c r="H140" s="17" t="s">
        <v>485</v>
      </c>
      <c r="I140" s="4" t="s">
        <v>77</v>
      </c>
      <c r="J140" s="4"/>
      <c r="K140" s="4"/>
      <c r="L140" s="4" t="s">
        <v>78</v>
      </c>
      <c r="M140" s="14" t="s">
        <v>37</v>
      </c>
      <c r="N140" s="14" t="s">
        <v>78</v>
      </c>
      <c r="O140" s="15" t="s">
        <v>69</v>
      </c>
      <c r="P140" s="14"/>
      <c r="Q140" s="14"/>
      <c r="R140" s="14"/>
      <c r="S140" s="15" t="str">
        <f aca="false">IF(N140="","",IF(N140=L140,"agree","DISAGREE"))</f>
        <v>agree</v>
      </c>
    </row>
    <row r="141" customFormat="false" ht="34.5" hidden="false" customHeight="true" outlineLevel="0" collapsed="false">
      <c r="A141" s="4" t="s">
        <v>491</v>
      </c>
      <c r="B141" s="4" t="s">
        <v>482</v>
      </c>
      <c r="C141" s="4" t="s">
        <v>483</v>
      </c>
      <c r="D141" s="4" t="s">
        <v>29</v>
      </c>
      <c r="E141" s="4" t="s">
        <v>64</v>
      </c>
      <c r="F141" s="4" t="s">
        <v>484</v>
      </c>
      <c r="G141" s="16" t="s">
        <v>492</v>
      </c>
      <c r="H141" s="17" t="s">
        <v>485</v>
      </c>
      <c r="I141" s="4" t="s">
        <v>81</v>
      </c>
      <c r="J141" s="17" t="s">
        <v>493</v>
      </c>
      <c r="K141" s="4" t="s">
        <v>494</v>
      </c>
      <c r="L141" s="4" t="s">
        <v>39</v>
      </c>
      <c r="M141" s="14" t="s">
        <v>37</v>
      </c>
      <c r="N141" s="14" t="s">
        <v>39</v>
      </c>
      <c r="O141" s="14" t="s">
        <v>41</v>
      </c>
      <c r="P141" s="14"/>
      <c r="Q141" s="14"/>
      <c r="R141" s="14"/>
      <c r="S141" s="15" t="str">
        <f aca="false">IF(N141="","",IF(N141=L141,"agree","DISAGREE"))</f>
        <v>agree</v>
      </c>
    </row>
    <row r="142" customFormat="false" ht="34.5" hidden="false" customHeight="true" outlineLevel="0" collapsed="false">
      <c r="A142" s="4" t="s">
        <v>495</v>
      </c>
      <c r="B142" s="4" t="s">
        <v>482</v>
      </c>
      <c r="C142" s="4" t="s">
        <v>483</v>
      </c>
      <c r="D142" s="4" t="s">
        <v>85</v>
      </c>
      <c r="E142" s="4" t="s">
        <v>64</v>
      </c>
      <c r="F142" s="4" t="s">
        <v>484</v>
      </c>
      <c r="G142" s="16" t="s">
        <v>496</v>
      </c>
      <c r="H142" s="17" t="s">
        <v>485</v>
      </c>
      <c r="I142" s="4" t="s">
        <v>87</v>
      </c>
      <c r="J142" s="17" t="s">
        <v>497</v>
      </c>
      <c r="K142" s="4" t="s">
        <v>498</v>
      </c>
      <c r="L142" s="4" t="s">
        <v>39</v>
      </c>
      <c r="M142" s="14" t="s">
        <v>37</v>
      </c>
      <c r="N142" s="14" t="s">
        <v>39</v>
      </c>
      <c r="O142" s="14" t="s">
        <v>41</v>
      </c>
      <c r="P142" s="14"/>
      <c r="Q142" s="14"/>
      <c r="R142" s="14"/>
      <c r="S142" s="15" t="str">
        <f aca="false">IF(N142="","",IF(N142=L142,"agree","DISAGREE"))</f>
        <v>agree</v>
      </c>
    </row>
    <row r="143" customFormat="false" ht="45.75" hidden="false" customHeight="true" outlineLevel="0" collapsed="false">
      <c r="A143" s="4" t="s">
        <v>499</v>
      </c>
      <c r="B143" s="4" t="s">
        <v>482</v>
      </c>
      <c r="C143" s="4" t="s">
        <v>483</v>
      </c>
      <c r="D143" s="4" t="s">
        <v>91</v>
      </c>
      <c r="E143" s="4" t="s">
        <v>64</v>
      </c>
      <c r="F143" s="4" t="s">
        <v>484</v>
      </c>
      <c r="G143" s="16" t="s">
        <v>500</v>
      </c>
      <c r="H143" s="17" t="s">
        <v>485</v>
      </c>
      <c r="I143" s="4" t="s">
        <v>501</v>
      </c>
      <c r="J143" s="4"/>
      <c r="K143" s="4"/>
      <c r="L143" s="4" t="s">
        <v>78</v>
      </c>
      <c r="M143" s="14" t="s">
        <v>37</v>
      </c>
      <c r="N143" s="14" t="s">
        <v>78</v>
      </c>
      <c r="O143" s="14" t="s">
        <v>69</v>
      </c>
      <c r="P143" s="14"/>
      <c r="Q143" s="14"/>
      <c r="R143" s="23" t="s">
        <v>502</v>
      </c>
      <c r="S143" s="15" t="str">
        <f aca="false">IF(N143="","",IF(N143=L143,"agree","DISAGREE"))</f>
        <v>agree</v>
      </c>
    </row>
    <row r="144" customFormat="false" ht="48.75" hidden="false" customHeight="true" outlineLevel="0" collapsed="false">
      <c r="A144" s="4" t="s">
        <v>503</v>
      </c>
      <c r="B144" s="4" t="s">
        <v>482</v>
      </c>
      <c r="C144" s="4" t="s">
        <v>483</v>
      </c>
      <c r="D144" s="4" t="s">
        <v>168</v>
      </c>
      <c r="E144" s="4" t="s">
        <v>168</v>
      </c>
      <c r="F144" s="4" t="s">
        <v>484</v>
      </c>
      <c r="G144" s="16" t="s">
        <v>504</v>
      </c>
      <c r="H144" s="17" t="s">
        <v>485</v>
      </c>
      <c r="I144" s="4" t="s">
        <v>170</v>
      </c>
      <c r="J144" s="4"/>
      <c r="K144" s="4"/>
      <c r="L144" s="4" t="s">
        <v>68</v>
      </c>
      <c r="M144" s="14" t="s">
        <v>37</v>
      </c>
      <c r="N144" s="14" t="s">
        <v>68</v>
      </c>
      <c r="O144" s="15" t="s">
        <v>69</v>
      </c>
      <c r="P144" s="14"/>
      <c r="Q144" s="14"/>
      <c r="R144" s="14"/>
      <c r="S144" s="15" t="str">
        <f aca="false">IF(N144="","",IF(N144=L144,"agree","DISAGREE"))</f>
        <v>agree</v>
      </c>
    </row>
    <row r="145" customFormat="false" ht="57" hidden="false" customHeight="true" outlineLevel="0" collapsed="false">
      <c r="A145" s="18" t="s">
        <v>505</v>
      </c>
      <c r="B145" s="18" t="s">
        <v>506</v>
      </c>
      <c r="C145" s="18" t="s">
        <v>483</v>
      </c>
      <c r="D145" s="18" t="s">
        <v>63</v>
      </c>
      <c r="E145" s="18" t="s">
        <v>64</v>
      </c>
      <c r="F145" s="18" t="s">
        <v>507</v>
      </c>
      <c r="G145" s="19" t="s">
        <v>508</v>
      </c>
      <c r="H145" s="20" t="s">
        <v>508</v>
      </c>
      <c r="I145" s="18" t="s">
        <v>67</v>
      </c>
      <c r="J145" s="18"/>
      <c r="K145" s="18"/>
      <c r="L145" s="18" t="s">
        <v>68</v>
      </c>
      <c r="M145" s="21" t="s">
        <v>37</v>
      </c>
      <c r="N145" s="21" t="s">
        <v>68</v>
      </c>
      <c r="O145" s="22" t="s">
        <v>69</v>
      </c>
      <c r="P145" s="21"/>
      <c r="Q145" s="21"/>
      <c r="R145" s="21"/>
      <c r="S145" s="22" t="str">
        <f aca="false">IF(N145="","",IF(N145=L145,"agree","DISAGREE"))</f>
        <v>agree</v>
      </c>
    </row>
    <row r="146" customFormat="false" ht="45.75" hidden="false" customHeight="true" outlineLevel="0" collapsed="false">
      <c r="A146" s="4" t="s">
        <v>509</v>
      </c>
      <c r="B146" s="4" t="s">
        <v>506</v>
      </c>
      <c r="C146" s="4" t="s">
        <v>483</v>
      </c>
      <c r="D146" s="4" t="s">
        <v>71</v>
      </c>
      <c r="E146" s="4" t="s">
        <v>64</v>
      </c>
      <c r="F146" s="4" t="s">
        <v>507</v>
      </c>
      <c r="G146" s="16" t="s">
        <v>510</v>
      </c>
      <c r="H146" s="17" t="s">
        <v>508</v>
      </c>
      <c r="I146" s="4" t="s">
        <v>73</v>
      </c>
      <c r="J146" s="4"/>
      <c r="K146" s="4"/>
      <c r="L146" s="4" t="s">
        <v>68</v>
      </c>
      <c r="M146" s="14" t="s">
        <v>37</v>
      </c>
      <c r="N146" s="14" t="s">
        <v>68</v>
      </c>
      <c r="O146" s="15" t="s">
        <v>69</v>
      </c>
      <c r="P146" s="14"/>
      <c r="Q146" s="14"/>
      <c r="R146" s="14"/>
      <c r="S146" s="15" t="str">
        <f aca="false">IF(N146="","",IF(N146=L146,"agree","DISAGREE"))</f>
        <v>agree</v>
      </c>
    </row>
    <row r="147" customFormat="false" ht="34.5" hidden="false" customHeight="true" outlineLevel="0" collapsed="false">
      <c r="A147" s="4" t="s">
        <v>511</v>
      </c>
      <c r="B147" s="4" t="s">
        <v>506</v>
      </c>
      <c r="C147" s="4" t="s">
        <v>483</v>
      </c>
      <c r="D147" s="4" t="s">
        <v>75</v>
      </c>
      <c r="E147" s="4" t="s">
        <v>64</v>
      </c>
      <c r="F147" s="4" t="s">
        <v>507</v>
      </c>
      <c r="G147" s="16" t="s">
        <v>512</v>
      </c>
      <c r="H147" s="17" t="s">
        <v>508</v>
      </c>
      <c r="I147" s="4" t="s">
        <v>77</v>
      </c>
      <c r="J147" s="4"/>
      <c r="K147" s="4"/>
      <c r="L147" s="4" t="s">
        <v>78</v>
      </c>
      <c r="M147" s="14" t="s">
        <v>37</v>
      </c>
      <c r="N147" s="14" t="s">
        <v>78</v>
      </c>
      <c r="O147" s="15" t="s">
        <v>69</v>
      </c>
      <c r="P147" s="14"/>
      <c r="Q147" s="14"/>
      <c r="R147" s="14"/>
      <c r="S147" s="15" t="str">
        <f aca="false">IF(N147="","",IF(N147=L147,"agree","DISAGREE"))</f>
        <v>agree</v>
      </c>
    </row>
    <row r="148" customFormat="false" ht="34.5" hidden="false" customHeight="true" outlineLevel="0" collapsed="false">
      <c r="A148" s="4" t="s">
        <v>513</v>
      </c>
      <c r="B148" s="4" t="s">
        <v>506</v>
      </c>
      <c r="C148" s="4" t="s">
        <v>483</v>
      </c>
      <c r="D148" s="4" t="s">
        <v>29</v>
      </c>
      <c r="E148" s="4" t="s">
        <v>64</v>
      </c>
      <c r="F148" s="4" t="s">
        <v>507</v>
      </c>
      <c r="G148" s="16" t="s">
        <v>514</v>
      </c>
      <c r="H148" s="17" t="s">
        <v>508</v>
      </c>
      <c r="I148" s="4" t="s">
        <v>81</v>
      </c>
      <c r="J148" s="17" t="s">
        <v>515</v>
      </c>
      <c r="K148" s="4" t="s">
        <v>516</v>
      </c>
      <c r="L148" s="4" t="s">
        <v>39</v>
      </c>
      <c r="M148" s="14" t="s">
        <v>37</v>
      </c>
      <c r="N148" s="14" t="s">
        <v>39</v>
      </c>
      <c r="O148" s="14" t="s">
        <v>41</v>
      </c>
      <c r="P148" s="14"/>
      <c r="Q148" s="14"/>
      <c r="R148" s="14"/>
      <c r="S148" s="15" t="str">
        <f aca="false">IF(N148="","",IF(N148=L148,"agree","DISAGREE"))</f>
        <v>agree</v>
      </c>
    </row>
    <row r="149" customFormat="false" ht="34.5" hidden="false" customHeight="true" outlineLevel="0" collapsed="false">
      <c r="A149" s="4" t="s">
        <v>517</v>
      </c>
      <c r="B149" s="4" t="s">
        <v>506</v>
      </c>
      <c r="C149" s="4" t="s">
        <v>483</v>
      </c>
      <c r="D149" s="4" t="s">
        <v>85</v>
      </c>
      <c r="E149" s="4" t="s">
        <v>64</v>
      </c>
      <c r="F149" s="4" t="s">
        <v>507</v>
      </c>
      <c r="G149" s="16" t="s">
        <v>518</v>
      </c>
      <c r="H149" s="17" t="s">
        <v>508</v>
      </c>
      <c r="I149" s="4" t="s">
        <v>87</v>
      </c>
      <c r="J149" s="17" t="s">
        <v>519</v>
      </c>
      <c r="K149" s="4" t="s">
        <v>520</v>
      </c>
      <c r="L149" s="4" t="s">
        <v>39</v>
      </c>
      <c r="M149" s="14" t="s">
        <v>37</v>
      </c>
      <c r="N149" s="14" t="s">
        <v>39</v>
      </c>
      <c r="O149" s="14" t="s">
        <v>41</v>
      </c>
      <c r="P149" s="14"/>
      <c r="Q149" s="14"/>
      <c r="R149" s="14"/>
      <c r="S149" s="15" t="str">
        <f aca="false">IF(N149="","",IF(N149=L149,"agree","DISAGREE"))</f>
        <v>agree</v>
      </c>
    </row>
    <row r="150" customFormat="false" ht="57" hidden="false" customHeight="true" outlineLevel="0" collapsed="false">
      <c r="A150" s="4" t="s">
        <v>521</v>
      </c>
      <c r="B150" s="4" t="s">
        <v>506</v>
      </c>
      <c r="C150" s="4" t="s">
        <v>483</v>
      </c>
      <c r="D150" s="4" t="s">
        <v>91</v>
      </c>
      <c r="E150" s="4" t="s">
        <v>64</v>
      </c>
      <c r="F150" s="4" t="s">
        <v>507</v>
      </c>
      <c r="G150" s="16" t="s">
        <v>522</v>
      </c>
      <c r="H150" s="17" t="s">
        <v>508</v>
      </c>
      <c r="I150" s="4" t="s">
        <v>523</v>
      </c>
      <c r="J150" s="4"/>
      <c r="K150" s="4"/>
      <c r="L150" s="4" t="s">
        <v>39</v>
      </c>
      <c r="M150" s="14" t="s">
        <v>37</v>
      </c>
      <c r="N150" s="14" t="s">
        <v>39</v>
      </c>
      <c r="O150" s="14" t="s">
        <v>69</v>
      </c>
      <c r="P150" s="23" t="s">
        <v>524</v>
      </c>
      <c r="Q150" s="23" t="s">
        <v>525</v>
      </c>
      <c r="R150" s="14"/>
      <c r="S150" s="15" t="str">
        <f aca="false">IF(N150="","",IF(N150=L150,"agree","DISAGREE"))</f>
        <v>agree</v>
      </c>
    </row>
    <row r="151" customFormat="false" ht="48.75" hidden="false" customHeight="true" outlineLevel="0" collapsed="false">
      <c r="A151" s="4" t="s">
        <v>526</v>
      </c>
      <c r="B151" s="4" t="s">
        <v>506</v>
      </c>
      <c r="C151" s="4" t="s">
        <v>483</v>
      </c>
      <c r="D151" s="4" t="s">
        <v>168</v>
      </c>
      <c r="E151" s="4" t="s">
        <v>168</v>
      </c>
      <c r="F151" s="4" t="s">
        <v>507</v>
      </c>
      <c r="G151" s="16" t="s">
        <v>527</v>
      </c>
      <c r="H151" s="17" t="s">
        <v>508</v>
      </c>
      <c r="I151" s="4" t="s">
        <v>170</v>
      </c>
      <c r="J151" s="4"/>
      <c r="K151" s="4"/>
      <c r="L151" s="4" t="s">
        <v>68</v>
      </c>
      <c r="M151" s="14" t="s">
        <v>37</v>
      </c>
      <c r="N151" s="14" t="s">
        <v>68</v>
      </c>
      <c r="O151" s="15" t="s">
        <v>69</v>
      </c>
      <c r="P151" s="14"/>
      <c r="Q151" s="14"/>
      <c r="R151" s="14"/>
      <c r="S151" s="15" t="str">
        <f aca="false">IF(N151="","",IF(N151=L151,"agree","DISAGREE"))</f>
        <v>agree</v>
      </c>
    </row>
    <row r="152" customFormat="false" ht="57" hidden="false" customHeight="true" outlineLevel="0" collapsed="false">
      <c r="A152" s="18" t="s">
        <v>528</v>
      </c>
      <c r="B152" s="18" t="s">
        <v>529</v>
      </c>
      <c r="C152" s="18" t="s">
        <v>483</v>
      </c>
      <c r="D152" s="18" t="s">
        <v>63</v>
      </c>
      <c r="E152" s="18" t="s">
        <v>64</v>
      </c>
      <c r="F152" s="18" t="s">
        <v>530</v>
      </c>
      <c r="G152" s="19" t="s">
        <v>531</v>
      </c>
      <c r="H152" s="20" t="s">
        <v>531</v>
      </c>
      <c r="I152" s="18" t="s">
        <v>67</v>
      </c>
      <c r="J152" s="18"/>
      <c r="K152" s="18"/>
      <c r="L152" s="18" t="s">
        <v>68</v>
      </c>
      <c r="M152" s="21" t="s">
        <v>37</v>
      </c>
      <c r="N152" s="21" t="s">
        <v>68</v>
      </c>
      <c r="O152" s="22" t="s">
        <v>69</v>
      </c>
      <c r="P152" s="21"/>
      <c r="Q152" s="21"/>
      <c r="R152" s="21"/>
      <c r="S152" s="22" t="str">
        <f aca="false">IF(N152="","",IF(N152=L152,"agree","DISAGREE"))</f>
        <v>agree</v>
      </c>
    </row>
    <row r="153" customFormat="false" ht="45.75" hidden="false" customHeight="true" outlineLevel="0" collapsed="false">
      <c r="A153" s="4" t="s">
        <v>532</v>
      </c>
      <c r="B153" s="4" t="s">
        <v>529</v>
      </c>
      <c r="C153" s="4" t="s">
        <v>483</v>
      </c>
      <c r="D153" s="4" t="s">
        <v>71</v>
      </c>
      <c r="E153" s="4" t="s">
        <v>64</v>
      </c>
      <c r="F153" s="4" t="s">
        <v>530</v>
      </c>
      <c r="G153" s="16" t="s">
        <v>533</v>
      </c>
      <c r="H153" s="17" t="s">
        <v>531</v>
      </c>
      <c r="I153" s="4" t="s">
        <v>73</v>
      </c>
      <c r="J153" s="4"/>
      <c r="K153" s="4"/>
      <c r="L153" s="4" t="s">
        <v>68</v>
      </c>
      <c r="M153" s="14" t="s">
        <v>37</v>
      </c>
      <c r="N153" s="14" t="s">
        <v>68</v>
      </c>
      <c r="O153" s="15" t="s">
        <v>69</v>
      </c>
      <c r="P153" s="14"/>
      <c r="Q153" s="14"/>
      <c r="R153" s="14"/>
      <c r="S153" s="15" t="str">
        <f aca="false">IF(N153="","",IF(N153=L153,"agree","DISAGREE"))</f>
        <v>agree</v>
      </c>
    </row>
    <row r="154" customFormat="false" ht="34.5" hidden="false" customHeight="true" outlineLevel="0" collapsed="false">
      <c r="A154" s="4" t="s">
        <v>534</v>
      </c>
      <c r="B154" s="4" t="s">
        <v>529</v>
      </c>
      <c r="C154" s="4" t="s">
        <v>483</v>
      </c>
      <c r="D154" s="4" t="s">
        <v>75</v>
      </c>
      <c r="E154" s="4" t="s">
        <v>64</v>
      </c>
      <c r="F154" s="4" t="s">
        <v>530</v>
      </c>
      <c r="G154" s="16" t="s">
        <v>535</v>
      </c>
      <c r="H154" s="17" t="s">
        <v>531</v>
      </c>
      <c r="I154" s="4" t="s">
        <v>77</v>
      </c>
      <c r="J154" s="4"/>
      <c r="K154" s="4"/>
      <c r="L154" s="4" t="s">
        <v>78</v>
      </c>
      <c r="M154" s="14" t="s">
        <v>37</v>
      </c>
      <c r="N154" s="14" t="s">
        <v>78</v>
      </c>
      <c r="O154" s="15" t="s">
        <v>69</v>
      </c>
      <c r="P154" s="14"/>
      <c r="Q154" s="14"/>
      <c r="R154" s="14"/>
      <c r="S154" s="15" t="str">
        <f aca="false">IF(N154="","",IF(N154=L154,"agree","DISAGREE"))</f>
        <v>agree</v>
      </c>
    </row>
    <row r="155" customFormat="false" ht="34.5" hidden="false" customHeight="true" outlineLevel="0" collapsed="false">
      <c r="A155" s="4" t="s">
        <v>536</v>
      </c>
      <c r="B155" s="4" t="s">
        <v>529</v>
      </c>
      <c r="C155" s="4" t="s">
        <v>483</v>
      </c>
      <c r="D155" s="4" t="s">
        <v>29</v>
      </c>
      <c r="E155" s="4" t="s">
        <v>64</v>
      </c>
      <c r="F155" s="4" t="s">
        <v>530</v>
      </c>
      <c r="G155" s="16" t="s">
        <v>537</v>
      </c>
      <c r="H155" s="17" t="s">
        <v>531</v>
      </c>
      <c r="I155" s="4" t="s">
        <v>81</v>
      </c>
      <c r="J155" s="17" t="s">
        <v>538</v>
      </c>
      <c r="K155" s="4" t="s">
        <v>539</v>
      </c>
      <c r="L155" s="4" t="s">
        <v>39</v>
      </c>
      <c r="M155" s="14" t="s">
        <v>37</v>
      </c>
      <c r="N155" s="14" t="s">
        <v>39</v>
      </c>
      <c r="O155" s="14" t="s">
        <v>41</v>
      </c>
      <c r="P155" s="14"/>
      <c r="Q155" s="14"/>
      <c r="R155" s="14"/>
      <c r="S155" s="15" t="str">
        <f aca="false">IF(N155="","",IF(N155=L155,"agree","DISAGREE"))</f>
        <v>agree</v>
      </c>
    </row>
    <row r="156" customFormat="false" ht="34.5" hidden="false" customHeight="true" outlineLevel="0" collapsed="false">
      <c r="A156" s="4" t="s">
        <v>540</v>
      </c>
      <c r="B156" s="4" t="s">
        <v>529</v>
      </c>
      <c r="C156" s="4" t="s">
        <v>483</v>
      </c>
      <c r="D156" s="4" t="s">
        <v>85</v>
      </c>
      <c r="E156" s="4" t="s">
        <v>64</v>
      </c>
      <c r="F156" s="4" t="s">
        <v>530</v>
      </c>
      <c r="G156" s="16" t="s">
        <v>541</v>
      </c>
      <c r="H156" s="17" t="s">
        <v>531</v>
      </c>
      <c r="I156" s="4" t="s">
        <v>87</v>
      </c>
      <c r="J156" s="17" t="s">
        <v>542</v>
      </c>
      <c r="K156" s="4" t="s">
        <v>543</v>
      </c>
      <c r="L156" s="4" t="s">
        <v>39</v>
      </c>
      <c r="M156" s="14" t="s">
        <v>37</v>
      </c>
      <c r="N156" s="14" t="s">
        <v>39</v>
      </c>
      <c r="O156" s="14" t="s">
        <v>41</v>
      </c>
      <c r="P156" s="14"/>
      <c r="Q156" s="14"/>
      <c r="R156" s="14"/>
      <c r="S156" s="15" t="str">
        <f aca="false">IF(N156="","",IF(N156=L156,"agree","DISAGREE"))</f>
        <v>agree</v>
      </c>
    </row>
    <row r="157" customFormat="false" ht="45.75" hidden="false" customHeight="true" outlineLevel="0" collapsed="false">
      <c r="A157" s="4" t="s">
        <v>544</v>
      </c>
      <c r="B157" s="4" t="s">
        <v>529</v>
      </c>
      <c r="C157" s="4" t="s">
        <v>483</v>
      </c>
      <c r="D157" s="4" t="s">
        <v>91</v>
      </c>
      <c r="E157" s="4" t="s">
        <v>64</v>
      </c>
      <c r="F157" s="4" t="s">
        <v>530</v>
      </c>
      <c r="G157" s="16" t="s">
        <v>545</v>
      </c>
      <c r="H157" s="17" t="s">
        <v>531</v>
      </c>
      <c r="I157" s="4" t="s">
        <v>546</v>
      </c>
      <c r="J157" s="4"/>
      <c r="K157" s="4"/>
      <c r="L157" s="4" t="s">
        <v>39</v>
      </c>
      <c r="M157" s="14" t="s">
        <v>37</v>
      </c>
      <c r="N157" s="14" t="s">
        <v>39</v>
      </c>
      <c r="O157" s="14" t="s">
        <v>69</v>
      </c>
      <c r="P157" s="23" t="s">
        <v>547</v>
      </c>
      <c r="Q157" s="23" t="s">
        <v>531</v>
      </c>
      <c r="R157" s="14"/>
      <c r="S157" s="15" t="str">
        <f aca="false">IF(N157="","",IF(N157=L157,"agree","DISAGREE"))</f>
        <v>agree</v>
      </c>
    </row>
    <row r="158" customFormat="false" ht="48.75" hidden="false" customHeight="true" outlineLevel="0" collapsed="false">
      <c r="A158" s="4" t="s">
        <v>548</v>
      </c>
      <c r="B158" s="4" t="s">
        <v>529</v>
      </c>
      <c r="C158" s="4" t="s">
        <v>483</v>
      </c>
      <c r="D158" s="4" t="s">
        <v>168</v>
      </c>
      <c r="E158" s="4" t="s">
        <v>168</v>
      </c>
      <c r="F158" s="4" t="s">
        <v>530</v>
      </c>
      <c r="G158" s="16" t="s">
        <v>549</v>
      </c>
      <c r="H158" s="17" t="s">
        <v>531</v>
      </c>
      <c r="I158" s="4" t="s">
        <v>170</v>
      </c>
      <c r="J158" s="4"/>
      <c r="K158" s="4"/>
      <c r="L158" s="4" t="s">
        <v>68</v>
      </c>
      <c r="M158" s="14" t="s">
        <v>37</v>
      </c>
      <c r="N158" s="14" t="s">
        <v>68</v>
      </c>
      <c r="O158" s="15" t="s">
        <v>69</v>
      </c>
      <c r="P158" s="14"/>
      <c r="Q158" s="14"/>
      <c r="R158" s="14"/>
      <c r="S158" s="15" t="str">
        <f aca="false">IF(N158="","",IF(N158=L158,"agree","DISAGREE"))</f>
        <v>agree</v>
      </c>
    </row>
    <row r="159" customFormat="false" ht="57" hidden="false" customHeight="true" outlineLevel="0" collapsed="false">
      <c r="A159" s="18" t="s">
        <v>550</v>
      </c>
      <c r="B159" s="18" t="s">
        <v>551</v>
      </c>
      <c r="C159" s="18" t="s">
        <v>483</v>
      </c>
      <c r="D159" s="18" t="s">
        <v>63</v>
      </c>
      <c r="E159" s="18" t="s">
        <v>64</v>
      </c>
      <c r="F159" s="18" t="s">
        <v>552</v>
      </c>
      <c r="G159" s="19" t="s">
        <v>553</v>
      </c>
      <c r="H159" s="20" t="s">
        <v>553</v>
      </c>
      <c r="I159" s="18" t="s">
        <v>67</v>
      </c>
      <c r="J159" s="18"/>
      <c r="K159" s="18"/>
      <c r="L159" s="18" t="s">
        <v>68</v>
      </c>
      <c r="M159" s="21" t="s">
        <v>37</v>
      </c>
      <c r="N159" s="21" t="s">
        <v>68</v>
      </c>
      <c r="O159" s="22" t="s">
        <v>69</v>
      </c>
      <c r="P159" s="21"/>
      <c r="Q159" s="21"/>
      <c r="R159" s="21"/>
      <c r="S159" s="22" t="str">
        <f aca="false">IF(N159="","",IF(N159=L159,"agree","DISAGREE"))</f>
        <v>agree</v>
      </c>
    </row>
    <row r="160" customFormat="false" ht="45.75" hidden="false" customHeight="true" outlineLevel="0" collapsed="false">
      <c r="A160" s="4" t="s">
        <v>554</v>
      </c>
      <c r="B160" s="4" t="s">
        <v>551</v>
      </c>
      <c r="C160" s="4" t="s">
        <v>483</v>
      </c>
      <c r="D160" s="4" t="s">
        <v>71</v>
      </c>
      <c r="E160" s="4" t="s">
        <v>64</v>
      </c>
      <c r="F160" s="4" t="s">
        <v>552</v>
      </c>
      <c r="G160" s="16" t="s">
        <v>555</v>
      </c>
      <c r="H160" s="17" t="s">
        <v>553</v>
      </c>
      <c r="I160" s="4" t="s">
        <v>73</v>
      </c>
      <c r="J160" s="4"/>
      <c r="K160" s="4"/>
      <c r="L160" s="4" t="s">
        <v>68</v>
      </c>
      <c r="M160" s="14" t="s">
        <v>37</v>
      </c>
      <c r="N160" s="14" t="s">
        <v>68</v>
      </c>
      <c r="O160" s="15" t="s">
        <v>69</v>
      </c>
      <c r="P160" s="14"/>
      <c r="Q160" s="14"/>
      <c r="R160" s="14"/>
      <c r="S160" s="15" t="str">
        <f aca="false">IF(N160="","",IF(N160=L160,"agree","DISAGREE"))</f>
        <v>agree</v>
      </c>
    </row>
    <row r="161" customFormat="false" ht="34.5" hidden="false" customHeight="true" outlineLevel="0" collapsed="false">
      <c r="A161" s="4" t="s">
        <v>556</v>
      </c>
      <c r="B161" s="4" t="s">
        <v>551</v>
      </c>
      <c r="C161" s="4" t="s">
        <v>483</v>
      </c>
      <c r="D161" s="4" t="s">
        <v>75</v>
      </c>
      <c r="E161" s="4" t="s">
        <v>64</v>
      </c>
      <c r="F161" s="4" t="s">
        <v>552</v>
      </c>
      <c r="G161" s="16" t="s">
        <v>557</v>
      </c>
      <c r="H161" s="17" t="s">
        <v>553</v>
      </c>
      <c r="I161" s="4" t="s">
        <v>77</v>
      </c>
      <c r="J161" s="4"/>
      <c r="K161" s="4"/>
      <c r="L161" s="4" t="s">
        <v>78</v>
      </c>
      <c r="M161" s="14" t="s">
        <v>37</v>
      </c>
      <c r="N161" s="14" t="s">
        <v>78</v>
      </c>
      <c r="O161" s="15" t="s">
        <v>69</v>
      </c>
      <c r="P161" s="14"/>
      <c r="Q161" s="14"/>
      <c r="R161" s="14"/>
      <c r="S161" s="15" t="str">
        <f aca="false">IF(N161="","",IF(N161=L161,"agree","DISAGREE"))</f>
        <v>agree</v>
      </c>
    </row>
    <row r="162" customFormat="false" ht="34.5" hidden="false" customHeight="true" outlineLevel="0" collapsed="false">
      <c r="A162" s="4" t="s">
        <v>558</v>
      </c>
      <c r="B162" s="4" t="s">
        <v>551</v>
      </c>
      <c r="C162" s="4" t="s">
        <v>483</v>
      </c>
      <c r="D162" s="4" t="s">
        <v>29</v>
      </c>
      <c r="E162" s="4" t="s">
        <v>64</v>
      </c>
      <c r="F162" s="4" t="s">
        <v>552</v>
      </c>
      <c r="G162" s="16" t="s">
        <v>559</v>
      </c>
      <c r="H162" s="17" t="s">
        <v>553</v>
      </c>
      <c r="I162" s="4" t="s">
        <v>81</v>
      </c>
      <c r="J162" s="17" t="s">
        <v>560</v>
      </c>
      <c r="K162" s="4" t="s">
        <v>561</v>
      </c>
      <c r="L162" s="4" t="s">
        <v>39</v>
      </c>
      <c r="M162" s="14" t="s">
        <v>37</v>
      </c>
      <c r="N162" s="14" t="s">
        <v>39</v>
      </c>
      <c r="O162" s="14" t="s">
        <v>41</v>
      </c>
      <c r="P162" s="14"/>
      <c r="Q162" s="14"/>
      <c r="R162" s="14"/>
      <c r="S162" s="15" t="str">
        <f aca="false">IF(N162="","",IF(N162=L162,"agree","DISAGREE"))</f>
        <v>agree</v>
      </c>
    </row>
    <row r="163" customFormat="false" ht="34.5" hidden="false" customHeight="true" outlineLevel="0" collapsed="false">
      <c r="A163" s="4" t="s">
        <v>562</v>
      </c>
      <c r="B163" s="4" t="s">
        <v>551</v>
      </c>
      <c r="C163" s="4" t="s">
        <v>483</v>
      </c>
      <c r="D163" s="4" t="s">
        <v>85</v>
      </c>
      <c r="E163" s="4" t="s">
        <v>64</v>
      </c>
      <c r="F163" s="4" t="s">
        <v>552</v>
      </c>
      <c r="G163" s="16" t="s">
        <v>563</v>
      </c>
      <c r="H163" s="17" t="s">
        <v>553</v>
      </c>
      <c r="I163" s="4" t="s">
        <v>87</v>
      </c>
      <c r="J163" s="17" t="s">
        <v>564</v>
      </c>
      <c r="K163" s="4" t="s">
        <v>565</v>
      </c>
      <c r="L163" s="4" t="s">
        <v>39</v>
      </c>
      <c r="M163" s="14" t="s">
        <v>37</v>
      </c>
      <c r="N163" s="14" t="s">
        <v>39</v>
      </c>
      <c r="O163" s="14" t="s">
        <v>41</v>
      </c>
      <c r="P163" s="14"/>
      <c r="Q163" s="14"/>
      <c r="R163" s="14"/>
      <c r="S163" s="15" t="str">
        <f aca="false">IF(N163="","",IF(N163=L163,"agree","DISAGREE"))</f>
        <v>agree</v>
      </c>
    </row>
    <row r="164" customFormat="false" ht="48.75" hidden="false" customHeight="true" outlineLevel="0" collapsed="false">
      <c r="A164" s="4" t="s">
        <v>566</v>
      </c>
      <c r="B164" s="4" t="s">
        <v>551</v>
      </c>
      <c r="C164" s="4" t="s">
        <v>483</v>
      </c>
      <c r="D164" s="4" t="s">
        <v>168</v>
      </c>
      <c r="E164" s="4" t="s">
        <v>168</v>
      </c>
      <c r="F164" s="4" t="s">
        <v>552</v>
      </c>
      <c r="G164" s="16" t="s">
        <v>567</v>
      </c>
      <c r="H164" s="17" t="s">
        <v>553</v>
      </c>
      <c r="I164" s="4" t="s">
        <v>170</v>
      </c>
      <c r="J164" s="4"/>
      <c r="K164" s="4"/>
      <c r="L164" s="4" t="s">
        <v>68</v>
      </c>
      <c r="M164" s="14" t="s">
        <v>37</v>
      </c>
      <c r="N164" s="14" t="s">
        <v>68</v>
      </c>
      <c r="O164" s="15" t="s">
        <v>69</v>
      </c>
      <c r="P164" s="14"/>
      <c r="Q164" s="14"/>
      <c r="R164" s="14"/>
      <c r="S164" s="15" t="str">
        <f aca="false">IF(N164="","",IF(N164=L164,"agree","DISAGREE"))</f>
        <v>agree</v>
      </c>
    </row>
    <row r="165" customFormat="false" ht="57" hidden="false" customHeight="true" outlineLevel="0" collapsed="false">
      <c r="A165" s="18" t="s">
        <v>568</v>
      </c>
      <c r="B165" s="18" t="s">
        <v>569</v>
      </c>
      <c r="C165" s="18" t="s">
        <v>483</v>
      </c>
      <c r="D165" s="18" t="s">
        <v>63</v>
      </c>
      <c r="E165" s="18" t="s">
        <v>64</v>
      </c>
      <c r="F165" s="18" t="s">
        <v>570</v>
      </c>
      <c r="G165" s="19" t="s">
        <v>571</v>
      </c>
      <c r="H165" s="20" t="s">
        <v>571</v>
      </c>
      <c r="I165" s="18" t="s">
        <v>67</v>
      </c>
      <c r="J165" s="18"/>
      <c r="K165" s="18"/>
      <c r="L165" s="18" t="s">
        <v>68</v>
      </c>
      <c r="M165" s="21" t="s">
        <v>37</v>
      </c>
      <c r="N165" s="21" t="s">
        <v>68</v>
      </c>
      <c r="O165" s="22" t="s">
        <v>69</v>
      </c>
      <c r="P165" s="21"/>
      <c r="Q165" s="21"/>
      <c r="R165" s="21"/>
      <c r="S165" s="22" t="str">
        <f aca="false">IF(N165="","",IF(N165=L165,"agree","DISAGREE"))</f>
        <v>agree</v>
      </c>
    </row>
    <row r="166" customFormat="false" ht="45.75" hidden="false" customHeight="true" outlineLevel="0" collapsed="false">
      <c r="A166" s="4" t="s">
        <v>572</v>
      </c>
      <c r="B166" s="4" t="s">
        <v>569</v>
      </c>
      <c r="C166" s="4" t="s">
        <v>483</v>
      </c>
      <c r="D166" s="4" t="s">
        <v>71</v>
      </c>
      <c r="E166" s="4" t="s">
        <v>64</v>
      </c>
      <c r="F166" s="4" t="s">
        <v>570</v>
      </c>
      <c r="G166" s="16" t="s">
        <v>573</v>
      </c>
      <c r="H166" s="17" t="s">
        <v>571</v>
      </c>
      <c r="I166" s="4" t="s">
        <v>73</v>
      </c>
      <c r="J166" s="4"/>
      <c r="K166" s="4"/>
      <c r="L166" s="4" t="s">
        <v>68</v>
      </c>
      <c r="M166" s="14" t="s">
        <v>37</v>
      </c>
      <c r="N166" s="14" t="s">
        <v>68</v>
      </c>
      <c r="O166" s="15" t="s">
        <v>69</v>
      </c>
      <c r="P166" s="14"/>
      <c r="Q166" s="14"/>
      <c r="R166" s="14"/>
      <c r="S166" s="15" t="str">
        <f aca="false">IF(N166="","",IF(N166=L166,"agree","DISAGREE"))</f>
        <v>agree</v>
      </c>
    </row>
    <row r="167" customFormat="false" ht="34.5" hidden="false" customHeight="true" outlineLevel="0" collapsed="false">
      <c r="A167" s="4" t="s">
        <v>574</v>
      </c>
      <c r="B167" s="4" t="s">
        <v>569</v>
      </c>
      <c r="C167" s="4" t="s">
        <v>483</v>
      </c>
      <c r="D167" s="4" t="s">
        <v>75</v>
      </c>
      <c r="E167" s="4" t="s">
        <v>64</v>
      </c>
      <c r="F167" s="4" t="s">
        <v>570</v>
      </c>
      <c r="G167" s="16" t="s">
        <v>575</v>
      </c>
      <c r="H167" s="17" t="s">
        <v>571</v>
      </c>
      <c r="I167" s="4" t="s">
        <v>77</v>
      </c>
      <c r="J167" s="4"/>
      <c r="K167" s="4"/>
      <c r="L167" s="4" t="s">
        <v>78</v>
      </c>
      <c r="M167" s="14" t="s">
        <v>37</v>
      </c>
      <c r="N167" s="14" t="s">
        <v>78</v>
      </c>
      <c r="O167" s="15" t="s">
        <v>69</v>
      </c>
      <c r="P167" s="14"/>
      <c r="Q167" s="14"/>
      <c r="R167" s="14"/>
      <c r="S167" s="15" t="str">
        <f aca="false">IF(N167="","",IF(N167=L167,"agree","DISAGREE"))</f>
        <v>agree</v>
      </c>
    </row>
    <row r="168" customFormat="false" ht="34.5" hidden="false" customHeight="true" outlineLevel="0" collapsed="false">
      <c r="A168" s="4" t="s">
        <v>576</v>
      </c>
      <c r="B168" s="4" t="s">
        <v>569</v>
      </c>
      <c r="C168" s="4" t="s">
        <v>483</v>
      </c>
      <c r="D168" s="4" t="s">
        <v>29</v>
      </c>
      <c r="E168" s="4" t="s">
        <v>64</v>
      </c>
      <c r="F168" s="4" t="s">
        <v>570</v>
      </c>
      <c r="G168" s="16" t="s">
        <v>577</v>
      </c>
      <c r="H168" s="17" t="s">
        <v>571</v>
      </c>
      <c r="I168" s="4" t="s">
        <v>81</v>
      </c>
      <c r="J168" s="17" t="s">
        <v>578</v>
      </c>
      <c r="K168" s="4" t="s">
        <v>579</v>
      </c>
      <c r="L168" s="4" t="s">
        <v>39</v>
      </c>
      <c r="M168" s="14" t="s">
        <v>37</v>
      </c>
      <c r="N168" s="14" t="s">
        <v>39</v>
      </c>
      <c r="O168" s="14" t="s">
        <v>41</v>
      </c>
      <c r="P168" s="14"/>
      <c r="Q168" s="14"/>
      <c r="R168" s="14"/>
      <c r="S168" s="15" t="str">
        <f aca="false">IF(N168="","",IF(N168=L168,"agree","DISAGREE"))</f>
        <v>agree</v>
      </c>
    </row>
    <row r="169" customFormat="false" ht="34.5" hidden="false" customHeight="true" outlineLevel="0" collapsed="false">
      <c r="A169" s="4" t="s">
        <v>580</v>
      </c>
      <c r="B169" s="4" t="s">
        <v>569</v>
      </c>
      <c r="C169" s="4" t="s">
        <v>483</v>
      </c>
      <c r="D169" s="4" t="s">
        <v>85</v>
      </c>
      <c r="E169" s="4" t="s">
        <v>64</v>
      </c>
      <c r="F169" s="4" t="s">
        <v>570</v>
      </c>
      <c r="G169" s="16" t="s">
        <v>581</v>
      </c>
      <c r="H169" s="17" t="s">
        <v>571</v>
      </c>
      <c r="I169" s="4" t="s">
        <v>87</v>
      </c>
      <c r="J169" s="17" t="s">
        <v>582</v>
      </c>
      <c r="K169" s="4" t="s">
        <v>583</v>
      </c>
      <c r="L169" s="4" t="s">
        <v>39</v>
      </c>
      <c r="M169" s="14" t="s">
        <v>37</v>
      </c>
      <c r="N169" s="14" t="s">
        <v>39</v>
      </c>
      <c r="O169" s="14" t="s">
        <v>41</v>
      </c>
      <c r="P169" s="14"/>
      <c r="Q169" s="14"/>
      <c r="R169" s="14"/>
      <c r="S169" s="15" t="str">
        <f aca="false">IF(N169="","",IF(N169=L169,"agree","DISAGREE"))</f>
        <v>agree</v>
      </c>
    </row>
    <row r="170" customFormat="false" ht="48.75" hidden="false" customHeight="true" outlineLevel="0" collapsed="false">
      <c r="A170" s="4" t="s">
        <v>584</v>
      </c>
      <c r="B170" s="4" t="s">
        <v>569</v>
      </c>
      <c r="C170" s="4" t="s">
        <v>483</v>
      </c>
      <c r="D170" s="4" t="s">
        <v>168</v>
      </c>
      <c r="E170" s="4" t="s">
        <v>168</v>
      </c>
      <c r="F170" s="4" t="s">
        <v>570</v>
      </c>
      <c r="G170" s="16" t="s">
        <v>585</v>
      </c>
      <c r="H170" s="17" t="s">
        <v>571</v>
      </c>
      <c r="I170" s="4" t="s">
        <v>170</v>
      </c>
      <c r="J170" s="4"/>
      <c r="K170" s="4"/>
      <c r="L170" s="4" t="s">
        <v>68</v>
      </c>
      <c r="M170" s="14" t="s">
        <v>37</v>
      </c>
      <c r="N170" s="14" t="s">
        <v>68</v>
      </c>
      <c r="O170" s="15" t="s">
        <v>69</v>
      </c>
      <c r="P170" s="14"/>
      <c r="Q170" s="14"/>
      <c r="R170" s="14"/>
      <c r="S170" s="15" t="str">
        <f aca="false">IF(N170="","",IF(N170=L170,"agree","DISAGREE"))</f>
        <v>agree</v>
      </c>
    </row>
    <row r="171" customFormat="false" ht="119.25" hidden="false" customHeight="true" outlineLevel="0" collapsed="false">
      <c r="A171" s="18" t="s">
        <v>586</v>
      </c>
      <c r="B171" s="18" t="s">
        <v>587</v>
      </c>
      <c r="C171" s="18" t="s">
        <v>588</v>
      </c>
      <c r="D171" s="18" t="s">
        <v>63</v>
      </c>
      <c r="E171" s="18" t="s">
        <v>64</v>
      </c>
      <c r="F171" s="18" t="s">
        <v>589</v>
      </c>
      <c r="G171" s="19" t="s">
        <v>590</v>
      </c>
      <c r="H171" s="20" t="s">
        <v>590</v>
      </c>
      <c r="I171" s="18" t="s">
        <v>591</v>
      </c>
      <c r="J171" s="18"/>
      <c r="K171" s="18"/>
      <c r="L171" s="18" t="s">
        <v>68</v>
      </c>
      <c r="M171" s="21" t="s">
        <v>37</v>
      </c>
      <c r="N171" s="21" t="s">
        <v>68</v>
      </c>
      <c r="O171" s="22" t="s">
        <v>69</v>
      </c>
      <c r="P171" s="21"/>
      <c r="Q171" s="21"/>
      <c r="R171" s="21"/>
      <c r="S171" s="22" t="str">
        <f aca="false">IF(N171="","",IF(N171=L171,"agree","DISAGREE"))</f>
        <v>agree</v>
      </c>
    </row>
    <row r="172" customFormat="false" ht="57.75" hidden="false" customHeight="true" outlineLevel="0" collapsed="false">
      <c r="A172" s="4" t="s">
        <v>592</v>
      </c>
      <c r="B172" s="4" t="s">
        <v>587</v>
      </c>
      <c r="C172" s="4" t="s">
        <v>588</v>
      </c>
      <c r="D172" s="4" t="s">
        <v>71</v>
      </c>
      <c r="E172" s="4" t="s">
        <v>64</v>
      </c>
      <c r="F172" s="4" t="s">
        <v>589</v>
      </c>
      <c r="G172" s="16" t="s">
        <v>593</v>
      </c>
      <c r="H172" s="17" t="s">
        <v>590</v>
      </c>
      <c r="I172" s="4" t="s">
        <v>73</v>
      </c>
      <c r="J172" s="4"/>
      <c r="K172" s="4"/>
      <c r="L172" s="4" t="s">
        <v>68</v>
      </c>
      <c r="M172" s="14" t="s">
        <v>37</v>
      </c>
      <c r="N172" s="14" t="s">
        <v>68</v>
      </c>
      <c r="O172" s="15" t="s">
        <v>69</v>
      </c>
      <c r="P172" s="14"/>
      <c r="Q172" s="14"/>
      <c r="R172" s="14"/>
      <c r="S172" s="15" t="str">
        <f aca="false">IF(N172="","",IF(N172=L172,"agree","DISAGREE"))</f>
        <v>agree</v>
      </c>
    </row>
    <row r="173" customFormat="false" ht="57.75" hidden="false" customHeight="true" outlineLevel="0" collapsed="false">
      <c r="A173" s="4" t="s">
        <v>594</v>
      </c>
      <c r="B173" s="4" t="s">
        <v>587</v>
      </c>
      <c r="C173" s="4" t="s">
        <v>588</v>
      </c>
      <c r="D173" s="4" t="s">
        <v>75</v>
      </c>
      <c r="E173" s="4" t="s">
        <v>64</v>
      </c>
      <c r="F173" s="4" t="s">
        <v>589</v>
      </c>
      <c r="G173" s="16" t="s">
        <v>595</v>
      </c>
      <c r="H173" s="17" t="s">
        <v>590</v>
      </c>
      <c r="I173" s="4" t="s">
        <v>77</v>
      </c>
      <c r="J173" s="4"/>
      <c r="K173" s="4"/>
      <c r="L173" s="4" t="s">
        <v>78</v>
      </c>
      <c r="M173" s="14" t="s">
        <v>37</v>
      </c>
      <c r="N173" s="14" t="s">
        <v>78</v>
      </c>
      <c r="O173" s="15" t="s">
        <v>69</v>
      </c>
      <c r="P173" s="14"/>
      <c r="Q173" s="14"/>
      <c r="R173" s="14"/>
      <c r="S173" s="15" t="str">
        <f aca="false">IF(N173="","",IF(N173=L173,"agree","DISAGREE"))</f>
        <v>agree</v>
      </c>
    </row>
    <row r="174" customFormat="false" ht="57.75" hidden="false" customHeight="true" outlineLevel="0" collapsed="false">
      <c r="A174" s="4" t="s">
        <v>596</v>
      </c>
      <c r="B174" s="4" t="s">
        <v>587</v>
      </c>
      <c r="C174" s="4" t="s">
        <v>588</v>
      </c>
      <c r="D174" s="4" t="s">
        <v>29</v>
      </c>
      <c r="E174" s="4" t="s">
        <v>64</v>
      </c>
      <c r="F174" s="4" t="s">
        <v>589</v>
      </c>
      <c r="G174" s="16" t="s">
        <v>597</v>
      </c>
      <c r="H174" s="17" t="s">
        <v>590</v>
      </c>
      <c r="I174" s="4" t="s">
        <v>81</v>
      </c>
      <c r="J174" s="17" t="s">
        <v>598</v>
      </c>
      <c r="K174" s="4" t="s">
        <v>599</v>
      </c>
      <c r="L174" s="4" t="s">
        <v>39</v>
      </c>
      <c r="M174" s="14" t="s">
        <v>37</v>
      </c>
      <c r="N174" s="14" t="s">
        <v>39</v>
      </c>
      <c r="O174" s="14" t="s">
        <v>41</v>
      </c>
      <c r="P174" s="14"/>
      <c r="Q174" s="14"/>
      <c r="R174" s="14"/>
      <c r="S174" s="15" t="str">
        <f aca="false">IF(N174="","",IF(N174=L174,"agree","DISAGREE"))</f>
        <v>agree</v>
      </c>
    </row>
    <row r="175" customFormat="false" ht="57.75" hidden="false" customHeight="true" outlineLevel="0" collapsed="false">
      <c r="A175" s="4" t="s">
        <v>600</v>
      </c>
      <c r="B175" s="4" t="s">
        <v>587</v>
      </c>
      <c r="C175" s="4" t="s">
        <v>588</v>
      </c>
      <c r="D175" s="4" t="s">
        <v>85</v>
      </c>
      <c r="E175" s="4" t="s">
        <v>64</v>
      </c>
      <c r="F175" s="4" t="s">
        <v>589</v>
      </c>
      <c r="G175" s="16" t="s">
        <v>601</v>
      </c>
      <c r="H175" s="17" t="s">
        <v>590</v>
      </c>
      <c r="I175" s="4" t="s">
        <v>87</v>
      </c>
      <c r="J175" s="17" t="s">
        <v>602</v>
      </c>
      <c r="K175" s="4" t="s">
        <v>603</v>
      </c>
      <c r="L175" s="4" t="s">
        <v>39</v>
      </c>
      <c r="M175" s="14" t="s">
        <v>37</v>
      </c>
      <c r="N175" s="14" t="s">
        <v>39</v>
      </c>
      <c r="O175" s="14" t="s">
        <v>41</v>
      </c>
      <c r="P175" s="14"/>
      <c r="Q175" s="14"/>
      <c r="R175" s="14"/>
      <c r="S175" s="15" t="str">
        <f aca="false">IF(N175="","",IF(N175=L175,"agree","DISAGREE"))</f>
        <v>agree</v>
      </c>
    </row>
    <row r="176" customFormat="false" ht="57.75" hidden="false" customHeight="true" outlineLevel="0" collapsed="false">
      <c r="A176" s="4" t="s">
        <v>604</v>
      </c>
      <c r="B176" s="4" t="s">
        <v>587</v>
      </c>
      <c r="C176" s="4" t="s">
        <v>588</v>
      </c>
      <c r="D176" s="4" t="s">
        <v>168</v>
      </c>
      <c r="E176" s="4" t="s">
        <v>168</v>
      </c>
      <c r="F176" s="4" t="s">
        <v>589</v>
      </c>
      <c r="G176" s="16" t="s">
        <v>605</v>
      </c>
      <c r="H176" s="17" t="s">
        <v>590</v>
      </c>
      <c r="I176" s="4" t="s">
        <v>170</v>
      </c>
      <c r="J176" s="4"/>
      <c r="K176" s="4"/>
      <c r="L176" s="4" t="s">
        <v>68</v>
      </c>
      <c r="M176" s="14" t="s">
        <v>37</v>
      </c>
      <c r="N176" s="14" t="s">
        <v>68</v>
      </c>
      <c r="O176" s="15" t="s">
        <v>69</v>
      </c>
      <c r="P176" s="14"/>
      <c r="Q176" s="14"/>
      <c r="R176" s="14"/>
      <c r="S176" s="15" t="str">
        <f aca="false">IF(N176="","",IF(N176=L176,"agree","DISAGREE"))</f>
        <v>agree</v>
      </c>
    </row>
    <row r="177" customFormat="false" ht="63" hidden="false" customHeight="true" outlineLevel="0" collapsed="false">
      <c r="A177" s="4" t="s">
        <v>606</v>
      </c>
      <c r="B177" s="4" t="s">
        <v>587</v>
      </c>
      <c r="C177" s="4" t="s">
        <v>588</v>
      </c>
      <c r="D177" s="4" t="s">
        <v>190</v>
      </c>
      <c r="E177" s="4" t="s">
        <v>190</v>
      </c>
      <c r="F177" s="4" t="s">
        <v>589</v>
      </c>
      <c r="G177" s="16" t="s">
        <v>607</v>
      </c>
      <c r="H177" s="17" t="s">
        <v>590</v>
      </c>
      <c r="I177" s="4" t="s">
        <v>192</v>
      </c>
      <c r="J177" s="4"/>
      <c r="K177" s="4"/>
      <c r="L177" s="4" t="s">
        <v>68</v>
      </c>
      <c r="M177" s="14" t="s">
        <v>37</v>
      </c>
      <c r="N177" s="14" t="s">
        <v>68</v>
      </c>
      <c r="O177" s="15" t="s">
        <v>69</v>
      </c>
      <c r="P177" s="14"/>
      <c r="Q177" s="14"/>
      <c r="R177" s="14"/>
      <c r="S177" s="15" t="str">
        <f aca="false">IF(N177="","",IF(N177=L177,"agree","DISAGREE"))</f>
        <v>agree</v>
      </c>
    </row>
    <row r="178" customFormat="false" ht="57" hidden="false" customHeight="true" outlineLevel="0" collapsed="false">
      <c r="A178" s="18" t="s">
        <v>608</v>
      </c>
      <c r="B178" s="18" t="s">
        <v>609</v>
      </c>
      <c r="C178" s="18" t="s">
        <v>588</v>
      </c>
      <c r="D178" s="18" t="s">
        <v>63</v>
      </c>
      <c r="E178" s="18" t="s">
        <v>64</v>
      </c>
      <c r="F178" s="18" t="s">
        <v>610</v>
      </c>
      <c r="G178" s="19" t="s">
        <v>611</v>
      </c>
      <c r="H178" s="20" t="s">
        <v>611</v>
      </c>
      <c r="I178" s="18" t="s">
        <v>67</v>
      </c>
      <c r="J178" s="18"/>
      <c r="K178" s="18"/>
      <c r="L178" s="18" t="s">
        <v>68</v>
      </c>
      <c r="M178" s="21" t="s">
        <v>37</v>
      </c>
      <c r="N178" s="21" t="s">
        <v>68</v>
      </c>
      <c r="O178" s="22" t="s">
        <v>69</v>
      </c>
      <c r="P178" s="21"/>
      <c r="Q178" s="21"/>
      <c r="R178" s="21"/>
      <c r="S178" s="22" t="str">
        <f aca="false">IF(N178="","",IF(N178=L178,"agree","DISAGREE"))</f>
        <v>agree</v>
      </c>
    </row>
    <row r="179" customFormat="false" ht="45.75" hidden="false" customHeight="true" outlineLevel="0" collapsed="false">
      <c r="A179" s="4" t="s">
        <v>612</v>
      </c>
      <c r="B179" s="4" t="s">
        <v>609</v>
      </c>
      <c r="C179" s="4" t="s">
        <v>588</v>
      </c>
      <c r="D179" s="4" t="s">
        <v>71</v>
      </c>
      <c r="E179" s="4" t="s">
        <v>64</v>
      </c>
      <c r="F179" s="4" t="s">
        <v>610</v>
      </c>
      <c r="G179" s="16" t="s">
        <v>613</v>
      </c>
      <c r="H179" s="17" t="s">
        <v>611</v>
      </c>
      <c r="I179" s="4" t="s">
        <v>73</v>
      </c>
      <c r="J179" s="4"/>
      <c r="K179" s="4"/>
      <c r="L179" s="4" t="s">
        <v>68</v>
      </c>
      <c r="M179" s="14" t="s">
        <v>37</v>
      </c>
      <c r="N179" s="14" t="s">
        <v>68</v>
      </c>
      <c r="O179" s="15" t="s">
        <v>69</v>
      </c>
      <c r="P179" s="14"/>
      <c r="Q179" s="14"/>
      <c r="R179" s="14"/>
      <c r="S179" s="15" t="str">
        <f aca="false">IF(N179="","",IF(N179=L179,"agree","DISAGREE"))</f>
        <v>agree</v>
      </c>
    </row>
    <row r="180" customFormat="false" ht="34.5" hidden="false" customHeight="true" outlineLevel="0" collapsed="false">
      <c r="A180" s="4" t="s">
        <v>614</v>
      </c>
      <c r="B180" s="4" t="s">
        <v>609</v>
      </c>
      <c r="C180" s="4" t="s">
        <v>588</v>
      </c>
      <c r="D180" s="4" t="s">
        <v>75</v>
      </c>
      <c r="E180" s="4" t="s">
        <v>64</v>
      </c>
      <c r="F180" s="4" t="s">
        <v>610</v>
      </c>
      <c r="G180" s="16" t="s">
        <v>615</v>
      </c>
      <c r="H180" s="17" t="s">
        <v>611</v>
      </c>
      <c r="I180" s="4" t="s">
        <v>77</v>
      </c>
      <c r="J180" s="4"/>
      <c r="K180" s="4"/>
      <c r="L180" s="4" t="s">
        <v>78</v>
      </c>
      <c r="M180" s="14" t="s">
        <v>37</v>
      </c>
      <c r="N180" s="14" t="s">
        <v>78</v>
      </c>
      <c r="O180" s="15" t="s">
        <v>69</v>
      </c>
      <c r="P180" s="14"/>
      <c r="Q180" s="14"/>
      <c r="R180" s="14"/>
      <c r="S180" s="15" t="str">
        <f aca="false">IF(N180="","",IF(N180=L180,"agree","DISAGREE"))</f>
        <v>agree</v>
      </c>
    </row>
    <row r="181" customFormat="false" ht="34.5" hidden="false" customHeight="true" outlineLevel="0" collapsed="false">
      <c r="A181" s="4" t="s">
        <v>616</v>
      </c>
      <c r="B181" s="4" t="s">
        <v>609</v>
      </c>
      <c r="C181" s="4" t="s">
        <v>588</v>
      </c>
      <c r="D181" s="4" t="s">
        <v>138</v>
      </c>
      <c r="E181" s="4" t="s">
        <v>64</v>
      </c>
      <c r="F181" s="4" t="s">
        <v>610</v>
      </c>
      <c r="G181" s="16" t="s">
        <v>617</v>
      </c>
      <c r="H181" s="17" t="s">
        <v>611</v>
      </c>
      <c r="I181" s="4" t="s">
        <v>140</v>
      </c>
      <c r="J181" s="4"/>
      <c r="K181" s="4"/>
      <c r="L181" s="4" t="s">
        <v>68</v>
      </c>
      <c r="M181" s="14" t="s">
        <v>37</v>
      </c>
      <c r="N181" s="14" t="s">
        <v>68</v>
      </c>
      <c r="O181" s="15" t="s">
        <v>69</v>
      </c>
      <c r="P181" s="14"/>
      <c r="Q181" s="14"/>
      <c r="R181" s="14"/>
      <c r="S181" s="15" t="str">
        <f aca="false">IF(N181="","",IF(N181=L181,"agree","DISAGREE"))</f>
        <v>agree</v>
      </c>
    </row>
    <row r="182" customFormat="false" ht="34.5" hidden="false" customHeight="true" outlineLevel="0" collapsed="false">
      <c r="A182" s="4" t="s">
        <v>618</v>
      </c>
      <c r="B182" s="4" t="s">
        <v>609</v>
      </c>
      <c r="C182" s="4" t="s">
        <v>588</v>
      </c>
      <c r="D182" s="4" t="s">
        <v>29</v>
      </c>
      <c r="E182" s="4" t="s">
        <v>64</v>
      </c>
      <c r="F182" s="4" t="s">
        <v>610</v>
      </c>
      <c r="G182" s="16" t="s">
        <v>619</v>
      </c>
      <c r="H182" s="17" t="s">
        <v>611</v>
      </c>
      <c r="I182" s="4" t="s">
        <v>81</v>
      </c>
      <c r="J182" s="17" t="s">
        <v>620</v>
      </c>
      <c r="K182" s="4" t="s">
        <v>621</v>
      </c>
      <c r="L182" s="4" t="s">
        <v>39</v>
      </c>
      <c r="M182" s="14" t="s">
        <v>37</v>
      </c>
      <c r="N182" s="14" t="s">
        <v>39</v>
      </c>
      <c r="O182" s="14" t="s">
        <v>41</v>
      </c>
      <c r="P182" s="14"/>
      <c r="Q182" s="14"/>
      <c r="R182" s="14"/>
      <c r="S182" s="15" t="str">
        <f aca="false">IF(N182="","",IF(N182=L182,"agree","DISAGREE"))</f>
        <v>agree</v>
      </c>
    </row>
    <row r="183" customFormat="false" ht="34.5" hidden="false" customHeight="true" outlineLevel="0" collapsed="false">
      <c r="A183" s="4" t="s">
        <v>622</v>
      </c>
      <c r="B183" s="4" t="s">
        <v>609</v>
      </c>
      <c r="C183" s="4" t="s">
        <v>588</v>
      </c>
      <c r="D183" s="4" t="s">
        <v>85</v>
      </c>
      <c r="E183" s="4" t="s">
        <v>64</v>
      </c>
      <c r="F183" s="4" t="s">
        <v>610</v>
      </c>
      <c r="G183" s="16" t="s">
        <v>623</v>
      </c>
      <c r="H183" s="17" t="s">
        <v>611</v>
      </c>
      <c r="I183" s="4" t="s">
        <v>87</v>
      </c>
      <c r="J183" s="17" t="s">
        <v>624</v>
      </c>
      <c r="K183" s="4" t="s">
        <v>625</v>
      </c>
      <c r="L183" s="4" t="s">
        <v>39</v>
      </c>
      <c r="M183" s="14" t="s">
        <v>37</v>
      </c>
      <c r="N183" s="14" t="s">
        <v>39</v>
      </c>
      <c r="O183" s="14" t="s">
        <v>41</v>
      </c>
      <c r="P183" s="14"/>
      <c r="Q183" s="14"/>
      <c r="R183" s="14"/>
      <c r="S183" s="15" t="str">
        <f aca="false">IF(N183="","",IF(N183=L183,"agree","DISAGREE"))</f>
        <v>agree</v>
      </c>
    </row>
    <row r="184" customFormat="false" ht="48.75" hidden="false" customHeight="true" outlineLevel="0" collapsed="false">
      <c r="A184" s="4" t="s">
        <v>626</v>
      </c>
      <c r="B184" s="4" t="s">
        <v>609</v>
      </c>
      <c r="C184" s="4" t="s">
        <v>588</v>
      </c>
      <c r="D184" s="4" t="s">
        <v>168</v>
      </c>
      <c r="E184" s="4" t="s">
        <v>168</v>
      </c>
      <c r="F184" s="4" t="s">
        <v>610</v>
      </c>
      <c r="G184" s="16" t="s">
        <v>627</v>
      </c>
      <c r="H184" s="17" t="s">
        <v>611</v>
      </c>
      <c r="I184" s="4" t="s">
        <v>170</v>
      </c>
      <c r="J184" s="4"/>
      <c r="K184" s="4"/>
      <c r="L184" s="4" t="s">
        <v>68</v>
      </c>
      <c r="M184" s="14" t="s">
        <v>37</v>
      </c>
      <c r="N184" s="14" t="s">
        <v>68</v>
      </c>
      <c r="O184" s="15" t="s">
        <v>69</v>
      </c>
      <c r="P184" s="14"/>
      <c r="Q184" s="14"/>
      <c r="R184" s="14"/>
      <c r="S184" s="15" t="str">
        <f aca="false">IF(N184="","",IF(N184=L184,"agree","DISAGREE"))</f>
        <v>agree</v>
      </c>
    </row>
    <row r="185" customFormat="false" ht="57" hidden="false" customHeight="true" outlineLevel="0" collapsed="false">
      <c r="A185" s="18" t="s">
        <v>628</v>
      </c>
      <c r="B185" s="18" t="s">
        <v>629</v>
      </c>
      <c r="C185" s="18" t="s">
        <v>588</v>
      </c>
      <c r="D185" s="18" t="s">
        <v>63</v>
      </c>
      <c r="E185" s="18" t="s">
        <v>64</v>
      </c>
      <c r="F185" s="18" t="s">
        <v>630</v>
      </c>
      <c r="G185" s="19" t="s">
        <v>631</v>
      </c>
      <c r="H185" s="20" t="s">
        <v>631</v>
      </c>
      <c r="I185" s="18" t="s">
        <v>67</v>
      </c>
      <c r="J185" s="18"/>
      <c r="K185" s="18"/>
      <c r="L185" s="18" t="s">
        <v>68</v>
      </c>
      <c r="M185" s="21" t="s">
        <v>37</v>
      </c>
      <c r="N185" s="21" t="s">
        <v>68</v>
      </c>
      <c r="O185" s="22" t="s">
        <v>69</v>
      </c>
      <c r="P185" s="21"/>
      <c r="Q185" s="21"/>
      <c r="R185" s="21"/>
      <c r="S185" s="22" t="str">
        <f aca="false">IF(N185="","",IF(N185=L185,"agree","DISAGREE"))</f>
        <v>agree</v>
      </c>
    </row>
    <row r="186" customFormat="false" ht="45.75" hidden="false" customHeight="true" outlineLevel="0" collapsed="false">
      <c r="A186" s="4" t="s">
        <v>632</v>
      </c>
      <c r="B186" s="4" t="s">
        <v>629</v>
      </c>
      <c r="C186" s="4" t="s">
        <v>588</v>
      </c>
      <c r="D186" s="4" t="s">
        <v>71</v>
      </c>
      <c r="E186" s="4" t="s">
        <v>64</v>
      </c>
      <c r="F186" s="4" t="s">
        <v>630</v>
      </c>
      <c r="G186" s="16" t="s">
        <v>633</v>
      </c>
      <c r="H186" s="17" t="s">
        <v>631</v>
      </c>
      <c r="I186" s="4" t="s">
        <v>73</v>
      </c>
      <c r="J186" s="4"/>
      <c r="K186" s="4"/>
      <c r="L186" s="4" t="s">
        <v>68</v>
      </c>
      <c r="M186" s="14" t="s">
        <v>37</v>
      </c>
      <c r="N186" s="14" t="s">
        <v>68</v>
      </c>
      <c r="O186" s="15" t="s">
        <v>69</v>
      </c>
      <c r="P186" s="14"/>
      <c r="Q186" s="14"/>
      <c r="R186" s="14"/>
      <c r="S186" s="15" t="str">
        <f aca="false">IF(N186="","",IF(N186=L186,"agree","DISAGREE"))</f>
        <v>agree</v>
      </c>
    </row>
    <row r="187" customFormat="false" ht="34.5" hidden="false" customHeight="true" outlineLevel="0" collapsed="false">
      <c r="A187" s="4" t="s">
        <v>634</v>
      </c>
      <c r="B187" s="4" t="s">
        <v>629</v>
      </c>
      <c r="C187" s="4" t="s">
        <v>588</v>
      </c>
      <c r="D187" s="4" t="s">
        <v>75</v>
      </c>
      <c r="E187" s="4" t="s">
        <v>64</v>
      </c>
      <c r="F187" s="4" t="s">
        <v>630</v>
      </c>
      <c r="G187" s="16" t="s">
        <v>635</v>
      </c>
      <c r="H187" s="17" t="s">
        <v>631</v>
      </c>
      <c r="I187" s="4" t="s">
        <v>77</v>
      </c>
      <c r="J187" s="4"/>
      <c r="K187" s="4"/>
      <c r="L187" s="4" t="s">
        <v>78</v>
      </c>
      <c r="M187" s="14" t="s">
        <v>37</v>
      </c>
      <c r="N187" s="14" t="s">
        <v>78</v>
      </c>
      <c r="O187" s="15" t="s">
        <v>69</v>
      </c>
      <c r="P187" s="14"/>
      <c r="Q187" s="14"/>
      <c r="R187" s="14"/>
      <c r="S187" s="15" t="str">
        <f aca="false">IF(N187="","",IF(N187=L187,"agree","DISAGREE"))</f>
        <v>agree</v>
      </c>
    </row>
    <row r="188" customFormat="false" ht="34.5" hidden="false" customHeight="true" outlineLevel="0" collapsed="false">
      <c r="A188" s="4" t="s">
        <v>636</v>
      </c>
      <c r="B188" s="4" t="s">
        <v>629</v>
      </c>
      <c r="C188" s="4" t="s">
        <v>588</v>
      </c>
      <c r="D188" s="4" t="s">
        <v>29</v>
      </c>
      <c r="E188" s="4" t="s">
        <v>64</v>
      </c>
      <c r="F188" s="4" t="s">
        <v>630</v>
      </c>
      <c r="G188" s="16" t="s">
        <v>637</v>
      </c>
      <c r="H188" s="17" t="s">
        <v>631</v>
      </c>
      <c r="I188" s="4" t="s">
        <v>81</v>
      </c>
      <c r="J188" s="17" t="s">
        <v>638</v>
      </c>
      <c r="K188" s="4" t="s">
        <v>639</v>
      </c>
      <c r="L188" s="4" t="s">
        <v>39</v>
      </c>
      <c r="M188" s="14" t="s">
        <v>37</v>
      </c>
      <c r="N188" s="14" t="s">
        <v>39</v>
      </c>
      <c r="O188" s="14" t="s">
        <v>41</v>
      </c>
      <c r="P188" s="14"/>
      <c r="Q188" s="14"/>
      <c r="R188" s="14"/>
      <c r="S188" s="15" t="str">
        <f aca="false">IF(N188="","",IF(N188=L188,"agree","DISAGREE"))</f>
        <v>agree</v>
      </c>
    </row>
    <row r="189" customFormat="false" ht="34.5" hidden="false" customHeight="true" outlineLevel="0" collapsed="false">
      <c r="A189" s="4" t="s">
        <v>640</v>
      </c>
      <c r="B189" s="4" t="s">
        <v>629</v>
      </c>
      <c r="C189" s="4" t="s">
        <v>588</v>
      </c>
      <c r="D189" s="4" t="s">
        <v>85</v>
      </c>
      <c r="E189" s="4" t="s">
        <v>64</v>
      </c>
      <c r="F189" s="4" t="s">
        <v>630</v>
      </c>
      <c r="G189" s="16" t="s">
        <v>641</v>
      </c>
      <c r="H189" s="17" t="s">
        <v>631</v>
      </c>
      <c r="I189" s="4" t="s">
        <v>87</v>
      </c>
      <c r="J189" s="17" t="s">
        <v>642</v>
      </c>
      <c r="K189" s="4" t="s">
        <v>643</v>
      </c>
      <c r="L189" s="4" t="s">
        <v>39</v>
      </c>
      <c r="M189" s="14" t="s">
        <v>37</v>
      </c>
      <c r="N189" s="14" t="s">
        <v>39</v>
      </c>
      <c r="O189" s="14" t="s">
        <v>41</v>
      </c>
      <c r="P189" s="14"/>
      <c r="Q189" s="14"/>
      <c r="R189" s="14"/>
      <c r="S189" s="15" t="str">
        <f aca="false">IF(N189="","",IF(N189=L189,"agree","DISAGREE"))</f>
        <v>agree</v>
      </c>
    </row>
    <row r="190" customFormat="false" ht="57" hidden="false" customHeight="true" outlineLevel="0" collapsed="false">
      <c r="A190" s="18" t="s">
        <v>644</v>
      </c>
      <c r="B190" s="18" t="s">
        <v>645</v>
      </c>
      <c r="C190" s="18" t="s">
        <v>588</v>
      </c>
      <c r="D190" s="18" t="s">
        <v>63</v>
      </c>
      <c r="E190" s="18" t="s">
        <v>64</v>
      </c>
      <c r="F190" s="18" t="s">
        <v>646</v>
      </c>
      <c r="G190" s="19" t="s">
        <v>647</v>
      </c>
      <c r="H190" s="20" t="s">
        <v>647</v>
      </c>
      <c r="I190" s="18" t="s">
        <v>67</v>
      </c>
      <c r="J190" s="18"/>
      <c r="K190" s="18"/>
      <c r="L190" s="18" t="s">
        <v>68</v>
      </c>
      <c r="M190" s="21" t="s">
        <v>37</v>
      </c>
      <c r="N190" s="21" t="s">
        <v>68</v>
      </c>
      <c r="O190" s="22" t="s">
        <v>69</v>
      </c>
      <c r="P190" s="21"/>
      <c r="Q190" s="21"/>
      <c r="R190" s="21"/>
      <c r="S190" s="22" t="str">
        <f aca="false">IF(N190="","",IF(N190=L190,"agree","DISAGREE"))</f>
        <v>agree</v>
      </c>
    </row>
    <row r="191" customFormat="false" ht="45.75" hidden="false" customHeight="true" outlineLevel="0" collapsed="false">
      <c r="A191" s="4" t="s">
        <v>648</v>
      </c>
      <c r="B191" s="4" t="s">
        <v>645</v>
      </c>
      <c r="C191" s="4" t="s">
        <v>588</v>
      </c>
      <c r="D191" s="4" t="s">
        <v>71</v>
      </c>
      <c r="E191" s="4" t="s">
        <v>64</v>
      </c>
      <c r="F191" s="4" t="s">
        <v>646</v>
      </c>
      <c r="G191" s="16" t="s">
        <v>649</v>
      </c>
      <c r="H191" s="17" t="s">
        <v>647</v>
      </c>
      <c r="I191" s="4" t="s">
        <v>73</v>
      </c>
      <c r="J191" s="4"/>
      <c r="K191" s="4"/>
      <c r="L191" s="4" t="s">
        <v>68</v>
      </c>
      <c r="M191" s="14" t="s">
        <v>37</v>
      </c>
      <c r="N191" s="14" t="s">
        <v>68</v>
      </c>
      <c r="O191" s="15" t="s">
        <v>69</v>
      </c>
      <c r="P191" s="14"/>
      <c r="Q191" s="14"/>
      <c r="R191" s="14"/>
      <c r="S191" s="15" t="str">
        <f aca="false">IF(N191="","",IF(N191=L191,"agree","DISAGREE"))</f>
        <v>agree</v>
      </c>
    </row>
    <row r="192" customFormat="false" ht="34.5" hidden="false" customHeight="true" outlineLevel="0" collapsed="false">
      <c r="A192" s="4" t="s">
        <v>650</v>
      </c>
      <c r="B192" s="4" t="s">
        <v>645</v>
      </c>
      <c r="C192" s="4" t="s">
        <v>588</v>
      </c>
      <c r="D192" s="4" t="s">
        <v>75</v>
      </c>
      <c r="E192" s="4" t="s">
        <v>64</v>
      </c>
      <c r="F192" s="4" t="s">
        <v>646</v>
      </c>
      <c r="G192" s="16" t="s">
        <v>651</v>
      </c>
      <c r="H192" s="17" t="s">
        <v>647</v>
      </c>
      <c r="I192" s="4" t="s">
        <v>77</v>
      </c>
      <c r="J192" s="4"/>
      <c r="K192" s="4"/>
      <c r="L192" s="4" t="s">
        <v>78</v>
      </c>
      <c r="M192" s="14" t="s">
        <v>37</v>
      </c>
      <c r="N192" s="14" t="s">
        <v>78</v>
      </c>
      <c r="O192" s="15" t="s">
        <v>69</v>
      </c>
      <c r="P192" s="14"/>
      <c r="Q192" s="14"/>
      <c r="R192" s="14"/>
      <c r="S192" s="15" t="str">
        <f aca="false">IF(N192="","",IF(N192=L192,"agree","DISAGREE"))</f>
        <v>agree</v>
      </c>
    </row>
    <row r="193" customFormat="false" ht="34.5" hidden="false" customHeight="true" outlineLevel="0" collapsed="false">
      <c r="A193" s="4" t="s">
        <v>652</v>
      </c>
      <c r="B193" s="4" t="s">
        <v>645</v>
      </c>
      <c r="C193" s="4" t="s">
        <v>588</v>
      </c>
      <c r="D193" s="4" t="s">
        <v>29</v>
      </c>
      <c r="E193" s="4" t="s">
        <v>64</v>
      </c>
      <c r="F193" s="4" t="s">
        <v>646</v>
      </c>
      <c r="G193" s="16" t="s">
        <v>653</v>
      </c>
      <c r="H193" s="17" t="s">
        <v>647</v>
      </c>
      <c r="I193" s="4" t="s">
        <v>81</v>
      </c>
      <c r="J193" s="17" t="s">
        <v>654</v>
      </c>
      <c r="K193" s="4" t="s">
        <v>655</v>
      </c>
      <c r="L193" s="4" t="s">
        <v>39</v>
      </c>
      <c r="M193" s="14" t="s">
        <v>37</v>
      </c>
      <c r="N193" s="14" t="s">
        <v>39</v>
      </c>
      <c r="O193" s="14" t="s">
        <v>41</v>
      </c>
      <c r="P193" s="14"/>
      <c r="Q193" s="14"/>
      <c r="R193" s="14"/>
      <c r="S193" s="15" t="str">
        <f aca="false">IF(N193="","",IF(N193=L193,"agree","DISAGREE"))</f>
        <v>agree</v>
      </c>
    </row>
    <row r="194" customFormat="false" ht="40.5" hidden="false" customHeight="true" outlineLevel="0" collapsed="false">
      <c r="A194" s="4" t="s">
        <v>656</v>
      </c>
      <c r="B194" s="4" t="s">
        <v>645</v>
      </c>
      <c r="C194" s="4" t="s">
        <v>588</v>
      </c>
      <c r="D194" s="4" t="s">
        <v>85</v>
      </c>
      <c r="E194" s="4" t="s">
        <v>64</v>
      </c>
      <c r="F194" s="4" t="s">
        <v>646</v>
      </c>
      <c r="G194" s="16" t="s">
        <v>657</v>
      </c>
      <c r="H194" s="17" t="s">
        <v>647</v>
      </c>
      <c r="I194" s="4" t="s">
        <v>87</v>
      </c>
      <c r="J194" s="17" t="s">
        <v>658</v>
      </c>
      <c r="K194" s="4" t="s">
        <v>659</v>
      </c>
      <c r="L194" s="4" t="s">
        <v>39</v>
      </c>
      <c r="M194" s="14" t="s">
        <v>37</v>
      </c>
      <c r="N194" s="14" t="s">
        <v>39</v>
      </c>
      <c r="O194" s="14" t="s">
        <v>41</v>
      </c>
      <c r="P194" s="14"/>
      <c r="Q194" s="14"/>
      <c r="R194" s="14"/>
      <c r="S194" s="15" t="str">
        <f aca="false">IF(N194="","",IF(N194=L194,"agree","DISAGREE"))</f>
        <v>agree</v>
      </c>
    </row>
    <row r="195" customFormat="false" ht="48.75" hidden="false" customHeight="true" outlineLevel="0" collapsed="false">
      <c r="A195" s="4" t="s">
        <v>660</v>
      </c>
      <c r="B195" s="4" t="s">
        <v>645</v>
      </c>
      <c r="C195" s="4" t="s">
        <v>588</v>
      </c>
      <c r="D195" s="4" t="s">
        <v>168</v>
      </c>
      <c r="E195" s="4" t="s">
        <v>168</v>
      </c>
      <c r="F195" s="4" t="s">
        <v>646</v>
      </c>
      <c r="G195" s="16" t="s">
        <v>661</v>
      </c>
      <c r="H195" s="17" t="s">
        <v>647</v>
      </c>
      <c r="I195" s="4" t="s">
        <v>170</v>
      </c>
      <c r="J195" s="4"/>
      <c r="K195" s="4"/>
      <c r="L195" s="4" t="s">
        <v>68</v>
      </c>
      <c r="M195" s="14" t="s">
        <v>37</v>
      </c>
      <c r="N195" s="14" t="s">
        <v>68</v>
      </c>
      <c r="O195" s="15" t="s">
        <v>69</v>
      </c>
      <c r="P195" s="14"/>
      <c r="Q195" s="14"/>
      <c r="R195" s="14"/>
      <c r="S195" s="15" t="str">
        <f aca="false">IF(N195="","",IF(N195=L195,"agree","DISAGREE"))</f>
        <v>agree</v>
      </c>
    </row>
    <row r="196" customFormat="false" ht="63" hidden="false" customHeight="true" outlineLevel="0" collapsed="false">
      <c r="A196" s="4" t="s">
        <v>662</v>
      </c>
      <c r="B196" s="4" t="s">
        <v>645</v>
      </c>
      <c r="C196" s="4" t="s">
        <v>588</v>
      </c>
      <c r="D196" s="4" t="s">
        <v>190</v>
      </c>
      <c r="E196" s="4" t="s">
        <v>190</v>
      </c>
      <c r="F196" s="4" t="s">
        <v>646</v>
      </c>
      <c r="G196" s="16" t="s">
        <v>663</v>
      </c>
      <c r="H196" s="17" t="s">
        <v>647</v>
      </c>
      <c r="I196" s="4" t="s">
        <v>192</v>
      </c>
      <c r="J196" s="4"/>
      <c r="K196" s="4"/>
      <c r="L196" s="4" t="s">
        <v>68</v>
      </c>
      <c r="M196" s="14" t="s">
        <v>37</v>
      </c>
      <c r="N196" s="14" t="s">
        <v>68</v>
      </c>
      <c r="O196" s="15" t="s">
        <v>69</v>
      </c>
      <c r="P196" s="14"/>
      <c r="Q196" s="14"/>
      <c r="R196" s="14"/>
      <c r="S196" s="15" t="str">
        <f aca="false">IF(N196="","",IF(N196=L196,"agree","DISAGREE"))</f>
        <v>agree</v>
      </c>
    </row>
    <row r="197" customFormat="false" ht="57" hidden="false" customHeight="true" outlineLevel="0" collapsed="false">
      <c r="A197" s="18" t="s">
        <v>664</v>
      </c>
      <c r="B197" s="18" t="s">
        <v>665</v>
      </c>
      <c r="C197" s="18" t="s">
        <v>588</v>
      </c>
      <c r="D197" s="18" t="s">
        <v>63</v>
      </c>
      <c r="E197" s="18" t="s">
        <v>64</v>
      </c>
      <c r="F197" s="18" t="s">
        <v>666</v>
      </c>
      <c r="G197" s="19" t="s">
        <v>667</v>
      </c>
      <c r="H197" s="20" t="s">
        <v>667</v>
      </c>
      <c r="I197" s="18" t="s">
        <v>67</v>
      </c>
      <c r="J197" s="18"/>
      <c r="K197" s="18"/>
      <c r="L197" s="18" t="s">
        <v>68</v>
      </c>
      <c r="M197" s="21" t="s">
        <v>37</v>
      </c>
      <c r="N197" s="21" t="s">
        <v>68</v>
      </c>
      <c r="O197" s="22" t="s">
        <v>69</v>
      </c>
      <c r="P197" s="21"/>
      <c r="Q197" s="21"/>
      <c r="R197" s="21"/>
      <c r="S197" s="22" t="str">
        <f aca="false">IF(N197="","",IF(N197=L197,"agree","DISAGREE"))</f>
        <v>agree</v>
      </c>
    </row>
    <row r="198" customFormat="false" ht="45.75" hidden="false" customHeight="true" outlineLevel="0" collapsed="false">
      <c r="A198" s="4" t="s">
        <v>668</v>
      </c>
      <c r="B198" s="4" t="s">
        <v>665</v>
      </c>
      <c r="C198" s="4" t="s">
        <v>588</v>
      </c>
      <c r="D198" s="4" t="s">
        <v>71</v>
      </c>
      <c r="E198" s="4" t="s">
        <v>64</v>
      </c>
      <c r="F198" s="4" t="s">
        <v>666</v>
      </c>
      <c r="G198" s="16" t="s">
        <v>669</v>
      </c>
      <c r="H198" s="17" t="s">
        <v>667</v>
      </c>
      <c r="I198" s="4" t="s">
        <v>73</v>
      </c>
      <c r="J198" s="4"/>
      <c r="K198" s="4"/>
      <c r="L198" s="4" t="s">
        <v>68</v>
      </c>
      <c r="M198" s="14" t="s">
        <v>37</v>
      </c>
      <c r="N198" s="14" t="s">
        <v>68</v>
      </c>
      <c r="O198" s="15" t="s">
        <v>69</v>
      </c>
      <c r="P198" s="14"/>
      <c r="Q198" s="14"/>
      <c r="R198" s="14"/>
      <c r="S198" s="15" t="str">
        <f aca="false">IF(N198="","",IF(N198=L198,"agree","DISAGREE"))</f>
        <v>agree</v>
      </c>
    </row>
    <row r="199" customFormat="false" ht="34.5" hidden="false" customHeight="true" outlineLevel="0" collapsed="false">
      <c r="A199" s="4" t="s">
        <v>670</v>
      </c>
      <c r="B199" s="4" t="s">
        <v>665</v>
      </c>
      <c r="C199" s="4" t="s">
        <v>588</v>
      </c>
      <c r="D199" s="4" t="s">
        <v>75</v>
      </c>
      <c r="E199" s="4" t="s">
        <v>64</v>
      </c>
      <c r="F199" s="4" t="s">
        <v>666</v>
      </c>
      <c r="G199" s="16" t="s">
        <v>671</v>
      </c>
      <c r="H199" s="17" t="s">
        <v>667</v>
      </c>
      <c r="I199" s="4" t="s">
        <v>77</v>
      </c>
      <c r="J199" s="4"/>
      <c r="K199" s="4"/>
      <c r="L199" s="4" t="s">
        <v>78</v>
      </c>
      <c r="M199" s="14" t="s">
        <v>37</v>
      </c>
      <c r="N199" s="14" t="s">
        <v>78</v>
      </c>
      <c r="O199" s="15" t="s">
        <v>69</v>
      </c>
      <c r="P199" s="14"/>
      <c r="Q199" s="14"/>
      <c r="R199" s="14"/>
      <c r="S199" s="15" t="str">
        <f aca="false">IF(N199="","",IF(N199=L199,"agree","DISAGREE"))</f>
        <v>agree</v>
      </c>
    </row>
    <row r="200" customFormat="false" ht="34.5" hidden="false" customHeight="true" outlineLevel="0" collapsed="false">
      <c r="A200" s="4" t="s">
        <v>672</v>
      </c>
      <c r="B200" s="4" t="s">
        <v>665</v>
      </c>
      <c r="C200" s="4" t="s">
        <v>588</v>
      </c>
      <c r="D200" s="4" t="s">
        <v>29</v>
      </c>
      <c r="E200" s="4" t="s">
        <v>64</v>
      </c>
      <c r="F200" s="4" t="s">
        <v>666</v>
      </c>
      <c r="G200" s="16" t="s">
        <v>673</v>
      </c>
      <c r="H200" s="17" t="s">
        <v>667</v>
      </c>
      <c r="I200" s="4" t="s">
        <v>81</v>
      </c>
      <c r="J200" s="17" t="s">
        <v>674</v>
      </c>
      <c r="K200" s="4" t="s">
        <v>675</v>
      </c>
      <c r="L200" s="4" t="s">
        <v>39</v>
      </c>
      <c r="M200" s="14" t="s">
        <v>37</v>
      </c>
      <c r="N200" s="14" t="s">
        <v>39</v>
      </c>
      <c r="O200" s="14" t="s">
        <v>41</v>
      </c>
      <c r="P200" s="14"/>
      <c r="Q200" s="14"/>
      <c r="R200" s="14"/>
      <c r="S200" s="15" t="str">
        <f aca="false">IF(N200="","",IF(N200=L200,"agree","DISAGREE"))</f>
        <v>agree</v>
      </c>
    </row>
    <row r="201" customFormat="false" ht="34.5" hidden="false" customHeight="true" outlineLevel="0" collapsed="false">
      <c r="A201" s="4" t="s">
        <v>676</v>
      </c>
      <c r="B201" s="4" t="s">
        <v>665</v>
      </c>
      <c r="C201" s="4" t="s">
        <v>588</v>
      </c>
      <c r="D201" s="4" t="s">
        <v>85</v>
      </c>
      <c r="E201" s="4" t="s">
        <v>64</v>
      </c>
      <c r="F201" s="4" t="s">
        <v>666</v>
      </c>
      <c r="G201" s="16" t="s">
        <v>677</v>
      </c>
      <c r="H201" s="17" t="s">
        <v>667</v>
      </c>
      <c r="I201" s="4" t="s">
        <v>87</v>
      </c>
      <c r="J201" s="17" t="s">
        <v>678</v>
      </c>
      <c r="K201" s="4" t="s">
        <v>679</v>
      </c>
      <c r="L201" s="4" t="s">
        <v>39</v>
      </c>
      <c r="M201" s="14" t="s">
        <v>37</v>
      </c>
      <c r="N201" s="14" t="s">
        <v>39</v>
      </c>
      <c r="O201" s="14" t="s">
        <v>41</v>
      </c>
      <c r="P201" s="14"/>
      <c r="Q201" s="14"/>
      <c r="R201" s="14"/>
      <c r="S201" s="15" t="str">
        <f aca="false">IF(N201="","",IF(N201=L201,"agree","DISAGREE"))</f>
        <v>agree</v>
      </c>
    </row>
    <row r="202" customFormat="false" ht="48.75" hidden="false" customHeight="true" outlineLevel="0" collapsed="false">
      <c r="A202" s="4" t="s">
        <v>680</v>
      </c>
      <c r="B202" s="4" t="s">
        <v>665</v>
      </c>
      <c r="C202" s="4" t="s">
        <v>588</v>
      </c>
      <c r="D202" s="4" t="s">
        <v>168</v>
      </c>
      <c r="E202" s="4" t="s">
        <v>168</v>
      </c>
      <c r="F202" s="4" t="s">
        <v>666</v>
      </c>
      <c r="G202" s="16" t="s">
        <v>681</v>
      </c>
      <c r="H202" s="17" t="s">
        <v>667</v>
      </c>
      <c r="I202" s="4" t="s">
        <v>170</v>
      </c>
      <c r="J202" s="4"/>
      <c r="K202" s="4"/>
      <c r="L202" s="4" t="s">
        <v>68</v>
      </c>
      <c r="M202" s="14" t="s">
        <v>37</v>
      </c>
      <c r="N202" s="14" t="s">
        <v>68</v>
      </c>
      <c r="O202" s="15" t="s">
        <v>69</v>
      </c>
      <c r="P202" s="14"/>
      <c r="Q202" s="14"/>
      <c r="R202" s="14"/>
      <c r="S202" s="15" t="str">
        <f aca="false">IF(N202="","",IF(N202=L202,"agree","DISAGREE"))</f>
        <v>agree</v>
      </c>
    </row>
    <row r="203" customFormat="false" ht="63" hidden="false" customHeight="true" outlineLevel="0" collapsed="false">
      <c r="A203" s="4" t="s">
        <v>682</v>
      </c>
      <c r="B203" s="4" t="s">
        <v>665</v>
      </c>
      <c r="C203" s="4" t="s">
        <v>588</v>
      </c>
      <c r="D203" s="4" t="s">
        <v>190</v>
      </c>
      <c r="E203" s="4" t="s">
        <v>190</v>
      </c>
      <c r="F203" s="4" t="s">
        <v>666</v>
      </c>
      <c r="G203" s="16" t="s">
        <v>683</v>
      </c>
      <c r="H203" s="17" t="s">
        <v>667</v>
      </c>
      <c r="I203" s="4" t="s">
        <v>192</v>
      </c>
      <c r="J203" s="4"/>
      <c r="K203" s="4"/>
      <c r="L203" s="4" t="s">
        <v>68</v>
      </c>
      <c r="M203" s="14" t="s">
        <v>37</v>
      </c>
      <c r="N203" s="14" t="s">
        <v>68</v>
      </c>
      <c r="O203" s="15" t="s">
        <v>69</v>
      </c>
      <c r="P203" s="14"/>
      <c r="Q203" s="14"/>
      <c r="R203" s="14"/>
      <c r="S203" s="15" t="str">
        <f aca="false">IF(N203="","",IF(N203=L203,"agree","DISAGREE"))</f>
        <v>agree</v>
      </c>
    </row>
    <row r="204" customFormat="false" ht="102" hidden="false" customHeight="true" outlineLevel="0" collapsed="false">
      <c r="A204" s="18" t="s">
        <v>684</v>
      </c>
      <c r="B204" s="18" t="s">
        <v>685</v>
      </c>
      <c r="C204" s="18" t="s">
        <v>686</v>
      </c>
      <c r="D204" s="18" t="s">
        <v>63</v>
      </c>
      <c r="E204" s="18" t="s">
        <v>64</v>
      </c>
      <c r="F204" s="18" t="s">
        <v>687</v>
      </c>
      <c r="G204" s="19" t="s">
        <v>688</v>
      </c>
      <c r="H204" s="20" t="s">
        <v>688</v>
      </c>
      <c r="I204" s="18" t="s">
        <v>689</v>
      </c>
      <c r="J204" s="18"/>
      <c r="K204" s="18"/>
      <c r="L204" s="18" t="s">
        <v>68</v>
      </c>
      <c r="M204" s="21" t="s">
        <v>37</v>
      </c>
      <c r="N204" s="21" t="s">
        <v>68</v>
      </c>
      <c r="O204" s="22" t="s">
        <v>69</v>
      </c>
      <c r="P204" s="21"/>
      <c r="Q204" s="21"/>
      <c r="R204" s="21"/>
      <c r="S204" s="22" t="str">
        <f aca="false">IF(N204="","",IF(N204=L204,"agree","DISAGREE"))</f>
        <v>agree</v>
      </c>
    </row>
    <row r="205" customFormat="false" ht="45.75" hidden="false" customHeight="true" outlineLevel="0" collapsed="false">
      <c r="A205" s="4" t="s">
        <v>690</v>
      </c>
      <c r="B205" s="4" t="s">
        <v>685</v>
      </c>
      <c r="C205" s="4" t="s">
        <v>686</v>
      </c>
      <c r="D205" s="4" t="s">
        <v>71</v>
      </c>
      <c r="E205" s="4" t="s">
        <v>64</v>
      </c>
      <c r="F205" s="4" t="s">
        <v>687</v>
      </c>
      <c r="G205" s="16" t="s">
        <v>691</v>
      </c>
      <c r="H205" s="17" t="s">
        <v>688</v>
      </c>
      <c r="I205" s="4" t="s">
        <v>73</v>
      </c>
      <c r="J205" s="4"/>
      <c r="K205" s="4"/>
      <c r="L205" s="4" t="s">
        <v>68</v>
      </c>
      <c r="M205" s="14" t="s">
        <v>37</v>
      </c>
      <c r="N205" s="14" t="s">
        <v>68</v>
      </c>
      <c r="O205" s="15" t="s">
        <v>69</v>
      </c>
      <c r="P205" s="14"/>
      <c r="Q205" s="14"/>
      <c r="R205" s="14"/>
      <c r="S205" s="15" t="str">
        <f aca="false">IF(N205="","",IF(N205=L205,"agree","DISAGREE"))</f>
        <v>agree</v>
      </c>
    </row>
    <row r="206" customFormat="false" ht="34.5" hidden="false" customHeight="true" outlineLevel="0" collapsed="false">
      <c r="A206" s="4" t="s">
        <v>692</v>
      </c>
      <c r="B206" s="4" t="s">
        <v>685</v>
      </c>
      <c r="C206" s="4" t="s">
        <v>686</v>
      </c>
      <c r="D206" s="4" t="s">
        <v>75</v>
      </c>
      <c r="E206" s="4" t="s">
        <v>64</v>
      </c>
      <c r="F206" s="4" t="s">
        <v>687</v>
      </c>
      <c r="G206" s="16" t="s">
        <v>693</v>
      </c>
      <c r="H206" s="17" t="s">
        <v>688</v>
      </c>
      <c r="I206" s="4" t="s">
        <v>77</v>
      </c>
      <c r="J206" s="4"/>
      <c r="K206" s="4"/>
      <c r="L206" s="4" t="s">
        <v>78</v>
      </c>
      <c r="M206" s="14" t="s">
        <v>37</v>
      </c>
      <c r="N206" s="14" t="s">
        <v>78</v>
      </c>
      <c r="O206" s="15" t="s">
        <v>69</v>
      </c>
      <c r="P206" s="14"/>
      <c r="Q206" s="14"/>
      <c r="R206" s="14"/>
      <c r="S206" s="15" t="str">
        <f aca="false">IF(N206="","",IF(N206=L206,"agree","DISAGREE"))</f>
        <v>agree</v>
      </c>
    </row>
    <row r="207" customFormat="false" ht="34.5" hidden="false" customHeight="true" outlineLevel="0" collapsed="false">
      <c r="A207" s="4" t="s">
        <v>694</v>
      </c>
      <c r="B207" s="4" t="s">
        <v>685</v>
      </c>
      <c r="C207" s="4" t="s">
        <v>686</v>
      </c>
      <c r="D207" s="4" t="s">
        <v>29</v>
      </c>
      <c r="E207" s="4" t="s">
        <v>64</v>
      </c>
      <c r="F207" s="4" t="s">
        <v>687</v>
      </c>
      <c r="G207" s="16" t="s">
        <v>695</v>
      </c>
      <c r="H207" s="17" t="s">
        <v>688</v>
      </c>
      <c r="I207" s="4" t="s">
        <v>81</v>
      </c>
      <c r="J207" s="17" t="s">
        <v>696</v>
      </c>
      <c r="K207" s="4" t="s">
        <v>697</v>
      </c>
      <c r="L207" s="4" t="s">
        <v>39</v>
      </c>
      <c r="M207" s="14" t="s">
        <v>37</v>
      </c>
      <c r="N207" s="14" t="s">
        <v>39</v>
      </c>
      <c r="O207" s="14" t="s">
        <v>41</v>
      </c>
      <c r="P207" s="14"/>
      <c r="Q207" s="14"/>
      <c r="R207" s="14"/>
      <c r="S207" s="15" t="str">
        <f aca="false">IF(N207="","",IF(N207=L207,"agree","DISAGREE"))</f>
        <v>agree</v>
      </c>
    </row>
    <row r="208" customFormat="false" ht="34.5" hidden="false" customHeight="true" outlineLevel="0" collapsed="false">
      <c r="A208" s="4" t="s">
        <v>698</v>
      </c>
      <c r="B208" s="4" t="s">
        <v>685</v>
      </c>
      <c r="C208" s="4" t="s">
        <v>686</v>
      </c>
      <c r="D208" s="4" t="s">
        <v>85</v>
      </c>
      <c r="E208" s="4" t="s">
        <v>64</v>
      </c>
      <c r="F208" s="4" t="s">
        <v>687</v>
      </c>
      <c r="G208" s="16" t="s">
        <v>699</v>
      </c>
      <c r="H208" s="17" t="s">
        <v>688</v>
      </c>
      <c r="I208" s="4" t="s">
        <v>87</v>
      </c>
      <c r="J208" s="17" t="s">
        <v>700</v>
      </c>
      <c r="K208" s="4" t="s">
        <v>701</v>
      </c>
      <c r="L208" s="4" t="s">
        <v>39</v>
      </c>
      <c r="M208" s="14" t="s">
        <v>37</v>
      </c>
      <c r="N208" s="14" t="s">
        <v>39</v>
      </c>
      <c r="O208" s="14" t="s">
        <v>41</v>
      </c>
      <c r="P208" s="14"/>
      <c r="Q208" s="14"/>
      <c r="R208" s="14"/>
      <c r="S208" s="15" t="str">
        <f aca="false">IF(N208="","",IF(N208=L208,"agree","DISAGREE"))</f>
        <v>agree</v>
      </c>
    </row>
    <row r="209" customFormat="false" ht="45.75" hidden="false" customHeight="true" outlineLevel="0" collapsed="false">
      <c r="A209" s="4" t="s">
        <v>702</v>
      </c>
      <c r="B209" s="4" t="s">
        <v>685</v>
      </c>
      <c r="C209" s="4" t="s">
        <v>686</v>
      </c>
      <c r="D209" s="4" t="s">
        <v>91</v>
      </c>
      <c r="E209" s="4" t="s">
        <v>64</v>
      </c>
      <c r="F209" s="4" t="s">
        <v>687</v>
      </c>
      <c r="G209" s="16" t="s">
        <v>703</v>
      </c>
      <c r="H209" s="17" t="s">
        <v>688</v>
      </c>
      <c r="I209" s="4" t="s">
        <v>704</v>
      </c>
      <c r="J209" s="4"/>
      <c r="K209" s="4"/>
      <c r="L209" s="4" t="s">
        <v>39</v>
      </c>
      <c r="M209" s="14" t="s">
        <v>37</v>
      </c>
      <c r="N209" s="14" t="s">
        <v>39</v>
      </c>
      <c r="O209" s="14" t="s">
        <v>69</v>
      </c>
      <c r="P209" s="23" t="s">
        <v>705</v>
      </c>
      <c r="Q209" s="23" t="s">
        <v>688</v>
      </c>
      <c r="R209" s="14"/>
      <c r="S209" s="15" t="str">
        <f aca="false">IF(N209="","",IF(N209=L209,"agree","DISAGREE"))</f>
        <v>agree</v>
      </c>
    </row>
    <row r="210" customFormat="false" ht="48.75" hidden="false" customHeight="true" outlineLevel="0" collapsed="false">
      <c r="A210" s="4" t="s">
        <v>706</v>
      </c>
      <c r="B210" s="4" t="s">
        <v>685</v>
      </c>
      <c r="C210" s="4" t="s">
        <v>686</v>
      </c>
      <c r="D210" s="4" t="s">
        <v>168</v>
      </c>
      <c r="E210" s="4" t="s">
        <v>168</v>
      </c>
      <c r="F210" s="4" t="s">
        <v>687</v>
      </c>
      <c r="G210" s="16" t="s">
        <v>707</v>
      </c>
      <c r="H210" s="17" t="s">
        <v>688</v>
      </c>
      <c r="I210" s="4" t="s">
        <v>170</v>
      </c>
      <c r="J210" s="4"/>
      <c r="K210" s="4"/>
      <c r="L210" s="4" t="s">
        <v>68</v>
      </c>
      <c r="M210" s="14" t="s">
        <v>37</v>
      </c>
      <c r="N210" s="14" t="s">
        <v>68</v>
      </c>
      <c r="O210" s="15" t="s">
        <v>69</v>
      </c>
      <c r="P210" s="14"/>
      <c r="Q210" s="14"/>
      <c r="R210" s="14"/>
      <c r="S210" s="15" t="str">
        <f aca="false">IF(N210="","",IF(N210=L210,"agree","DISAGREE"))</f>
        <v>agree</v>
      </c>
    </row>
    <row r="211" customFormat="false" ht="63" hidden="false" customHeight="true" outlineLevel="0" collapsed="false">
      <c r="A211" s="4" t="s">
        <v>708</v>
      </c>
      <c r="B211" s="4" t="s">
        <v>685</v>
      </c>
      <c r="C211" s="4" t="s">
        <v>686</v>
      </c>
      <c r="D211" s="4" t="s">
        <v>190</v>
      </c>
      <c r="E211" s="4" t="s">
        <v>190</v>
      </c>
      <c r="F211" s="4" t="s">
        <v>687</v>
      </c>
      <c r="G211" s="16" t="s">
        <v>709</v>
      </c>
      <c r="H211" s="17" t="s">
        <v>688</v>
      </c>
      <c r="I211" s="4" t="s">
        <v>192</v>
      </c>
      <c r="J211" s="4"/>
      <c r="K211" s="4"/>
      <c r="L211" s="4" t="s">
        <v>68</v>
      </c>
      <c r="M211" s="14" t="s">
        <v>37</v>
      </c>
      <c r="N211" s="14" t="s">
        <v>68</v>
      </c>
      <c r="O211" s="15" t="s">
        <v>69</v>
      </c>
      <c r="P211" s="14"/>
      <c r="Q211" s="14"/>
      <c r="R211" s="14"/>
      <c r="S211" s="15" t="str">
        <f aca="false">IF(N211="","",IF(N211=L211,"agree","DISAGREE"))</f>
        <v>agree</v>
      </c>
    </row>
    <row r="212" customFormat="false" ht="57" hidden="false" customHeight="true" outlineLevel="0" collapsed="false">
      <c r="A212" s="18" t="s">
        <v>710</v>
      </c>
      <c r="B212" s="18" t="s">
        <v>711</v>
      </c>
      <c r="C212" s="18" t="s">
        <v>686</v>
      </c>
      <c r="D212" s="18" t="s">
        <v>63</v>
      </c>
      <c r="E212" s="18" t="s">
        <v>64</v>
      </c>
      <c r="F212" s="18" t="s">
        <v>712</v>
      </c>
      <c r="G212" s="19" t="s">
        <v>713</v>
      </c>
      <c r="H212" s="20" t="s">
        <v>713</v>
      </c>
      <c r="I212" s="18" t="s">
        <v>67</v>
      </c>
      <c r="J212" s="18"/>
      <c r="K212" s="18"/>
      <c r="L212" s="18" t="s">
        <v>68</v>
      </c>
      <c r="M212" s="21" t="s">
        <v>37</v>
      </c>
      <c r="N212" s="21" t="s">
        <v>68</v>
      </c>
      <c r="O212" s="22" t="s">
        <v>69</v>
      </c>
      <c r="P212" s="21"/>
      <c r="Q212" s="21"/>
      <c r="R212" s="21"/>
      <c r="S212" s="22" t="str">
        <f aca="false">IF(N212="","",IF(N212=L212,"agree","DISAGREE"))</f>
        <v>agree</v>
      </c>
    </row>
    <row r="213" customFormat="false" ht="45.75" hidden="false" customHeight="true" outlineLevel="0" collapsed="false">
      <c r="A213" s="4" t="s">
        <v>714</v>
      </c>
      <c r="B213" s="4" t="s">
        <v>711</v>
      </c>
      <c r="C213" s="4" t="s">
        <v>686</v>
      </c>
      <c r="D213" s="4" t="s">
        <v>71</v>
      </c>
      <c r="E213" s="4" t="s">
        <v>64</v>
      </c>
      <c r="F213" s="4" t="s">
        <v>712</v>
      </c>
      <c r="G213" s="16" t="s">
        <v>715</v>
      </c>
      <c r="H213" s="17" t="s">
        <v>713</v>
      </c>
      <c r="I213" s="4" t="s">
        <v>73</v>
      </c>
      <c r="J213" s="4"/>
      <c r="K213" s="4"/>
      <c r="L213" s="4" t="s">
        <v>68</v>
      </c>
      <c r="M213" s="14" t="s">
        <v>37</v>
      </c>
      <c r="N213" s="14" t="s">
        <v>68</v>
      </c>
      <c r="O213" s="15" t="s">
        <v>69</v>
      </c>
      <c r="P213" s="14"/>
      <c r="Q213" s="14"/>
      <c r="R213" s="14"/>
      <c r="S213" s="15" t="str">
        <f aca="false">IF(N213="","",IF(N213=L213,"agree","DISAGREE"))</f>
        <v>agree</v>
      </c>
    </row>
    <row r="214" customFormat="false" ht="34.5" hidden="false" customHeight="true" outlineLevel="0" collapsed="false">
      <c r="A214" s="4" t="s">
        <v>716</v>
      </c>
      <c r="B214" s="4" t="s">
        <v>711</v>
      </c>
      <c r="C214" s="4" t="s">
        <v>686</v>
      </c>
      <c r="D214" s="4" t="s">
        <v>75</v>
      </c>
      <c r="E214" s="4" t="s">
        <v>64</v>
      </c>
      <c r="F214" s="4" t="s">
        <v>712</v>
      </c>
      <c r="G214" s="16" t="s">
        <v>717</v>
      </c>
      <c r="H214" s="17" t="s">
        <v>713</v>
      </c>
      <c r="I214" s="4" t="s">
        <v>77</v>
      </c>
      <c r="J214" s="4"/>
      <c r="K214" s="4"/>
      <c r="L214" s="4" t="s">
        <v>78</v>
      </c>
      <c r="M214" s="14" t="s">
        <v>37</v>
      </c>
      <c r="N214" s="14" t="s">
        <v>78</v>
      </c>
      <c r="O214" s="15" t="s">
        <v>69</v>
      </c>
      <c r="P214" s="14"/>
      <c r="Q214" s="14"/>
      <c r="R214" s="14"/>
      <c r="S214" s="15" t="str">
        <f aca="false">IF(N214="","",IF(N214=L214,"agree","DISAGREE"))</f>
        <v>agree</v>
      </c>
    </row>
    <row r="215" customFormat="false" ht="34.5" hidden="false" customHeight="true" outlineLevel="0" collapsed="false">
      <c r="A215" s="4" t="s">
        <v>718</v>
      </c>
      <c r="B215" s="4" t="s">
        <v>711</v>
      </c>
      <c r="C215" s="4" t="s">
        <v>686</v>
      </c>
      <c r="D215" s="4" t="s">
        <v>138</v>
      </c>
      <c r="E215" s="4" t="s">
        <v>64</v>
      </c>
      <c r="F215" s="4" t="s">
        <v>712</v>
      </c>
      <c r="G215" s="16" t="s">
        <v>719</v>
      </c>
      <c r="H215" s="17" t="s">
        <v>713</v>
      </c>
      <c r="I215" s="4" t="s">
        <v>140</v>
      </c>
      <c r="J215" s="4"/>
      <c r="K215" s="4"/>
      <c r="L215" s="4" t="s">
        <v>68</v>
      </c>
      <c r="M215" s="14" t="s">
        <v>37</v>
      </c>
      <c r="N215" s="14" t="s">
        <v>68</v>
      </c>
      <c r="O215" s="15" t="s">
        <v>69</v>
      </c>
      <c r="P215" s="14"/>
      <c r="Q215" s="14"/>
      <c r="R215" s="14"/>
      <c r="S215" s="15" t="str">
        <f aca="false">IF(N215="","",IF(N215=L215,"agree","DISAGREE"))</f>
        <v>agree</v>
      </c>
    </row>
    <row r="216" customFormat="false" ht="34.5" hidden="false" customHeight="true" outlineLevel="0" collapsed="false">
      <c r="A216" s="4" t="s">
        <v>720</v>
      </c>
      <c r="B216" s="4" t="s">
        <v>711</v>
      </c>
      <c r="C216" s="4" t="s">
        <v>686</v>
      </c>
      <c r="D216" s="4" t="s">
        <v>29</v>
      </c>
      <c r="E216" s="4" t="s">
        <v>64</v>
      </c>
      <c r="F216" s="4" t="s">
        <v>712</v>
      </c>
      <c r="G216" s="16" t="s">
        <v>721</v>
      </c>
      <c r="H216" s="17" t="s">
        <v>713</v>
      </c>
      <c r="I216" s="4" t="s">
        <v>81</v>
      </c>
      <c r="J216" s="17" t="s">
        <v>722</v>
      </c>
      <c r="K216" s="4" t="s">
        <v>723</v>
      </c>
      <c r="L216" s="4" t="s">
        <v>39</v>
      </c>
      <c r="M216" s="14" t="s">
        <v>37</v>
      </c>
      <c r="N216" s="14" t="s">
        <v>39</v>
      </c>
      <c r="O216" s="14" t="s">
        <v>41</v>
      </c>
      <c r="P216" s="14"/>
      <c r="Q216" s="14"/>
      <c r="R216" s="14"/>
      <c r="S216" s="15" t="str">
        <f aca="false">IF(N216="","",IF(N216=L216,"agree","DISAGREE"))</f>
        <v>agree</v>
      </c>
    </row>
    <row r="217" customFormat="false" ht="34.5" hidden="false" customHeight="true" outlineLevel="0" collapsed="false">
      <c r="A217" s="4" t="s">
        <v>724</v>
      </c>
      <c r="B217" s="4" t="s">
        <v>711</v>
      </c>
      <c r="C217" s="4" t="s">
        <v>686</v>
      </c>
      <c r="D217" s="4" t="s">
        <v>85</v>
      </c>
      <c r="E217" s="4" t="s">
        <v>64</v>
      </c>
      <c r="F217" s="4" t="s">
        <v>712</v>
      </c>
      <c r="G217" s="16" t="s">
        <v>725</v>
      </c>
      <c r="H217" s="17" t="s">
        <v>713</v>
      </c>
      <c r="I217" s="4" t="s">
        <v>87</v>
      </c>
      <c r="J217" s="17" t="s">
        <v>726</v>
      </c>
      <c r="K217" s="4" t="s">
        <v>727</v>
      </c>
      <c r="L217" s="4" t="s">
        <v>39</v>
      </c>
      <c r="M217" s="14" t="s">
        <v>37</v>
      </c>
      <c r="N217" s="14" t="s">
        <v>39</v>
      </c>
      <c r="O217" s="14" t="s">
        <v>41</v>
      </c>
      <c r="P217" s="14"/>
      <c r="Q217" s="14"/>
      <c r="R217" s="14"/>
      <c r="S217" s="15" t="str">
        <f aca="false">IF(N217="","",IF(N217=L217,"agree","DISAGREE"))</f>
        <v>agree</v>
      </c>
    </row>
    <row r="218" customFormat="false" ht="48.75" hidden="false" customHeight="true" outlineLevel="0" collapsed="false">
      <c r="A218" s="4" t="s">
        <v>728</v>
      </c>
      <c r="B218" s="4" t="s">
        <v>711</v>
      </c>
      <c r="C218" s="4" t="s">
        <v>686</v>
      </c>
      <c r="D218" s="4" t="s">
        <v>168</v>
      </c>
      <c r="E218" s="4" t="s">
        <v>168</v>
      </c>
      <c r="F218" s="4" t="s">
        <v>712</v>
      </c>
      <c r="G218" s="16" t="s">
        <v>729</v>
      </c>
      <c r="H218" s="17" t="s">
        <v>713</v>
      </c>
      <c r="I218" s="4" t="s">
        <v>170</v>
      </c>
      <c r="J218" s="4"/>
      <c r="K218" s="4"/>
      <c r="L218" s="4" t="s">
        <v>68</v>
      </c>
      <c r="M218" s="14" t="s">
        <v>37</v>
      </c>
      <c r="N218" s="14" t="s">
        <v>68</v>
      </c>
      <c r="O218" s="15" t="s">
        <v>69</v>
      </c>
      <c r="P218" s="14"/>
      <c r="Q218" s="14"/>
      <c r="R218" s="14"/>
      <c r="S218" s="15" t="str">
        <f aca="false">IF(N218="","",IF(N218=L218,"agree","DISAGREE"))</f>
        <v>agree</v>
      </c>
    </row>
    <row r="219" customFormat="false" ht="57" hidden="false" customHeight="true" outlineLevel="0" collapsed="false">
      <c r="A219" s="18" t="s">
        <v>730</v>
      </c>
      <c r="B219" s="18" t="s">
        <v>731</v>
      </c>
      <c r="C219" s="18" t="s">
        <v>686</v>
      </c>
      <c r="D219" s="18" t="s">
        <v>63</v>
      </c>
      <c r="E219" s="18" t="s">
        <v>64</v>
      </c>
      <c r="F219" s="18" t="s">
        <v>732</v>
      </c>
      <c r="G219" s="19" t="s">
        <v>733</v>
      </c>
      <c r="H219" s="20" t="s">
        <v>733</v>
      </c>
      <c r="I219" s="18" t="s">
        <v>67</v>
      </c>
      <c r="J219" s="18"/>
      <c r="K219" s="18"/>
      <c r="L219" s="18" t="s">
        <v>68</v>
      </c>
      <c r="M219" s="21" t="s">
        <v>37</v>
      </c>
      <c r="N219" s="21" t="s">
        <v>68</v>
      </c>
      <c r="O219" s="22" t="s">
        <v>69</v>
      </c>
      <c r="P219" s="21"/>
      <c r="Q219" s="21"/>
      <c r="R219" s="21"/>
      <c r="S219" s="22" t="str">
        <f aca="false">IF(N219="","",IF(N219=L219,"agree","DISAGREE"))</f>
        <v>agree</v>
      </c>
    </row>
    <row r="220" customFormat="false" ht="45.75" hidden="false" customHeight="true" outlineLevel="0" collapsed="false">
      <c r="A220" s="4" t="s">
        <v>734</v>
      </c>
      <c r="B220" s="4" t="s">
        <v>731</v>
      </c>
      <c r="C220" s="4" t="s">
        <v>686</v>
      </c>
      <c r="D220" s="4" t="s">
        <v>71</v>
      </c>
      <c r="E220" s="4" t="s">
        <v>64</v>
      </c>
      <c r="F220" s="4" t="s">
        <v>732</v>
      </c>
      <c r="G220" s="16" t="s">
        <v>735</v>
      </c>
      <c r="H220" s="17" t="s">
        <v>733</v>
      </c>
      <c r="I220" s="4" t="s">
        <v>73</v>
      </c>
      <c r="J220" s="4"/>
      <c r="K220" s="4"/>
      <c r="L220" s="4" t="s">
        <v>68</v>
      </c>
      <c r="M220" s="14" t="s">
        <v>37</v>
      </c>
      <c r="N220" s="14" t="s">
        <v>68</v>
      </c>
      <c r="O220" s="15" t="s">
        <v>69</v>
      </c>
      <c r="P220" s="14"/>
      <c r="Q220" s="14"/>
      <c r="R220" s="14"/>
      <c r="S220" s="15" t="str">
        <f aca="false">IF(N220="","",IF(N220=L220,"agree","DISAGREE"))</f>
        <v>agree</v>
      </c>
    </row>
    <row r="221" customFormat="false" ht="34.5" hidden="false" customHeight="true" outlineLevel="0" collapsed="false">
      <c r="A221" s="4" t="s">
        <v>736</v>
      </c>
      <c r="B221" s="4" t="s">
        <v>731</v>
      </c>
      <c r="C221" s="4" t="s">
        <v>686</v>
      </c>
      <c r="D221" s="4" t="s">
        <v>75</v>
      </c>
      <c r="E221" s="4" t="s">
        <v>64</v>
      </c>
      <c r="F221" s="4" t="s">
        <v>732</v>
      </c>
      <c r="G221" s="16" t="s">
        <v>737</v>
      </c>
      <c r="H221" s="17" t="s">
        <v>733</v>
      </c>
      <c r="I221" s="4" t="s">
        <v>77</v>
      </c>
      <c r="J221" s="4"/>
      <c r="K221" s="4"/>
      <c r="L221" s="4" t="s">
        <v>78</v>
      </c>
      <c r="M221" s="14" t="s">
        <v>37</v>
      </c>
      <c r="N221" s="14" t="s">
        <v>78</v>
      </c>
      <c r="O221" s="15" t="s">
        <v>69</v>
      </c>
      <c r="P221" s="14"/>
      <c r="Q221" s="14"/>
      <c r="R221" s="14"/>
      <c r="S221" s="15" t="str">
        <f aca="false">IF(N221="","",IF(N221=L221,"agree","DISAGREE"))</f>
        <v>agree</v>
      </c>
    </row>
    <row r="222" customFormat="false" ht="34.5" hidden="false" customHeight="true" outlineLevel="0" collapsed="false">
      <c r="A222" s="4" t="s">
        <v>738</v>
      </c>
      <c r="B222" s="4" t="s">
        <v>731</v>
      </c>
      <c r="C222" s="4" t="s">
        <v>686</v>
      </c>
      <c r="D222" s="4" t="s">
        <v>29</v>
      </c>
      <c r="E222" s="4" t="s">
        <v>64</v>
      </c>
      <c r="F222" s="4" t="s">
        <v>732</v>
      </c>
      <c r="G222" s="16" t="s">
        <v>739</v>
      </c>
      <c r="H222" s="17" t="s">
        <v>733</v>
      </c>
      <c r="I222" s="4" t="s">
        <v>81</v>
      </c>
      <c r="J222" s="17" t="s">
        <v>740</v>
      </c>
      <c r="K222" s="4" t="s">
        <v>741</v>
      </c>
      <c r="L222" s="4" t="s">
        <v>39</v>
      </c>
      <c r="M222" s="14" t="s">
        <v>37</v>
      </c>
      <c r="N222" s="14" t="s">
        <v>39</v>
      </c>
      <c r="O222" s="14" t="s">
        <v>41</v>
      </c>
      <c r="P222" s="14"/>
      <c r="Q222" s="14"/>
      <c r="R222" s="14"/>
      <c r="S222" s="15" t="str">
        <f aca="false">IF(N222="","",IF(N222=L222,"agree","DISAGREE"))</f>
        <v>agree</v>
      </c>
    </row>
    <row r="223" customFormat="false" ht="34.5" hidden="false" customHeight="true" outlineLevel="0" collapsed="false">
      <c r="A223" s="4" t="s">
        <v>742</v>
      </c>
      <c r="B223" s="4" t="s">
        <v>731</v>
      </c>
      <c r="C223" s="4" t="s">
        <v>686</v>
      </c>
      <c r="D223" s="4" t="s">
        <v>85</v>
      </c>
      <c r="E223" s="4" t="s">
        <v>64</v>
      </c>
      <c r="F223" s="4" t="s">
        <v>732</v>
      </c>
      <c r="G223" s="16" t="s">
        <v>743</v>
      </c>
      <c r="H223" s="17" t="s">
        <v>733</v>
      </c>
      <c r="I223" s="4" t="s">
        <v>87</v>
      </c>
      <c r="J223" s="17" t="s">
        <v>744</v>
      </c>
      <c r="K223" s="4" t="s">
        <v>745</v>
      </c>
      <c r="L223" s="4" t="s">
        <v>39</v>
      </c>
      <c r="M223" s="14" t="s">
        <v>37</v>
      </c>
      <c r="N223" s="14" t="s">
        <v>39</v>
      </c>
      <c r="O223" s="14" t="s">
        <v>41</v>
      </c>
      <c r="P223" s="14"/>
      <c r="Q223" s="14"/>
      <c r="R223" s="14"/>
      <c r="S223" s="15" t="str">
        <f aca="false">IF(N223="","",IF(N223=L223,"agree","DISAGREE"))</f>
        <v>agree</v>
      </c>
    </row>
    <row r="224" customFormat="false" ht="57" hidden="false" customHeight="true" outlineLevel="0" collapsed="false">
      <c r="A224" s="18" t="s">
        <v>746</v>
      </c>
      <c r="B224" s="18" t="s">
        <v>747</v>
      </c>
      <c r="C224" s="18" t="s">
        <v>686</v>
      </c>
      <c r="D224" s="18" t="s">
        <v>63</v>
      </c>
      <c r="E224" s="18" t="s">
        <v>64</v>
      </c>
      <c r="F224" s="18" t="s">
        <v>748</v>
      </c>
      <c r="G224" s="19" t="s">
        <v>749</v>
      </c>
      <c r="H224" s="20" t="s">
        <v>749</v>
      </c>
      <c r="I224" s="18" t="s">
        <v>67</v>
      </c>
      <c r="J224" s="18"/>
      <c r="K224" s="18"/>
      <c r="L224" s="18" t="s">
        <v>68</v>
      </c>
      <c r="M224" s="21" t="s">
        <v>37</v>
      </c>
      <c r="N224" s="21" t="s">
        <v>68</v>
      </c>
      <c r="O224" s="22" t="s">
        <v>69</v>
      </c>
      <c r="P224" s="21"/>
      <c r="Q224" s="21"/>
      <c r="R224" s="21"/>
      <c r="S224" s="22" t="str">
        <f aca="false">IF(N224="","",IF(N224=L224,"agree","DISAGREE"))</f>
        <v>agree</v>
      </c>
    </row>
    <row r="225" customFormat="false" ht="45.75" hidden="false" customHeight="true" outlineLevel="0" collapsed="false">
      <c r="A225" s="4" t="s">
        <v>750</v>
      </c>
      <c r="B225" s="4" t="s">
        <v>747</v>
      </c>
      <c r="C225" s="4" t="s">
        <v>686</v>
      </c>
      <c r="D225" s="4" t="s">
        <v>71</v>
      </c>
      <c r="E225" s="4" t="s">
        <v>64</v>
      </c>
      <c r="F225" s="4" t="s">
        <v>748</v>
      </c>
      <c r="G225" s="16" t="s">
        <v>751</v>
      </c>
      <c r="H225" s="17" t="s">
        <v>749</v>
      </c>
      <c r="I225" s="4" t="s">
        <v>73</v>
      </c>
      <c r="J225" s="4"/>
      <c r="K225" s="4"/>
      <c r="L225" s="4" t="s">
        <v>68</v>
      </c>
      <c r="M225" s="14" t="s">
        <v>37</v>
      </c>
      <c r="N225" s="14" t="s">
        <v>68</v>
      </c>
      <c r="O225" s="15" t="s">
        <v>69</v>
      </c>
      <c r="P225" s="14"/>
      <c r="Q225" s="14"/>
      <c r="R225" s="14"/>
      <c r="S225" s="15" t="str">
        <f aca="false">IF(N225="","",IF(N225=L225,"agree","DISAGREE"))</f>
        <v>agree</v>
      </c>
    </row>
    <row r="226" customFormat="false" ht="34.5" hidden="false" customHeight="true" outlineLevel="0" collapsed="false">
      <c r="A226" s="4" t="s">
        <v>752</v>
      </c>
      <c r="B226" s="4" t="s">
        <v>747</v>
      </c>
      <c r="C226" s="4" t="s">
        <v>686</v>
      </c>
      <c r="D226" s="4" t="s">
        <v>75</v>
      </c>
      <c r="E226" s="4" t="s">
        <v>64</v>
      </c>
      <c r="F226" s="4" t="s">
        <v>748</v>
      </c>
      <c r="G226" s="16" t="s">
        <v>753</v>
      </c>
      <c r="H226" s="17" t="s">
        <v>749</v>
      </c>
      <c r="I226" s="4" t="s">
        <v>77</v>
      </c>
      <c r="J226" s="4"/>
      <c r="K226" s="4"/>
      <c r="L226" s="4" t="s">
        <v>78</v>
      </c>
      <c r="M226" s="14" t="s">
        <v>37</v>
      </c>
      <c r="N226" s="14" t="s">
        <v>78</v>
      </c>
      <c r="O226" s="15" t="s">
        <v>69</v>
      </c>
      <c r="P226" s="14"/>
      <c r="Q226" s="14"/>
      <c r="R226" s="14"/>
      <c r="S226" s="15" t="str">
        <f aca="false">IF(N226="","",IF(N226=L226,"agree","DISAGREE"))</f>
        <v>agree</v>
      </c>
    </row>
    <row r="227" customFormat="false" ht="34.5" hidden="false" customHeight="true" outlineLevel="0" collapsed="false">
      <c r="A227" s="4" t="s">
        <v>754</v>
      </c>
      <c r="B227" s="4" t="s">
        <v>747</v>
      </c>
      <c r="C227" s="4" t="s">
        <v>686</v>
      </c>
      <c r="D227" s="4" t="s">
        <v>29</v>
      </c>
      <c r="E227" s="4" t="s">
        <v>64</v>
      </c>
      <c r="F227" s="4" t="s">
        <v>748</v>
      </c>
      <c r="G227" s="16" t="s">
        <v>755</v>
      </c>
      <c r="H227" s="17" t="s">
        <v>749</v>
      </c>
      <c r="I227" s="4" t="s">
        <v>81</v>
      </c>
      <c r="J227" s="17" t="s">
        <v>756</v>
      </c>
      <c r="K227" s="4" t="s">
        <v>757</v>
      </c>
      <c r="L227" s="4" t="s">
        <v>39</v>
      </c>
      <c r="M227" s="14" t="s">
        <v>37</v>
      </c>
      <c r="N227" s="14" t="s">
        <v>39</v>
      </c>
      <c r="O227" s="14" t="s">
        <v>41</v>
      </c>
      <c r="P227" s="14"/>
      <c r="Q227" s="14"/>
      <c r="R227" s="14"/>
      <c r="S227" s="15" t="str">
        <f aca="false">IF(N227="","",IF(N227=L227,"agree","DISAGREE"))</f>
        <v>agree</v>
      </c>
    </row>
    <row r="228" customFormat="false" ht="34.5" hidden="false" customHeight="true" outlineLevel="0" collapsed="false">
      <c r="A228" s="4" t="s">
        <v>758</v>
      </c>
      <c r="B228" s="4" t="s">
        <v>747</v>
      </c>
      <c r="C228" s="4" t="s">
        <v>686</v>
      </c>
      <c r="D228" s="4" t="s">
        <v>85</v>
      </c>
      <c r="E228" s="4" t="s">
        <v>64</v>
      </c>
      <c r="F228" s="4" t="s">
        <v>748</v>
      </c>
      <c r="G228" s="16" t="s">
        <v>759</v>
      </c>
      <c r="H228" s="17" t="s">
        <v>749</v>
      </c>
      <c r="I228" s="4" t="s">
        <v>87</v>
      </c>
      <c r="J228" s="17" t="s">
        <v>760</v>
      </c>
      <c r="K228" s="4" t="s">
        <v>761</v>
      </c>
      <c r="L228" s="4" t="s">
        <v>39</v>
      </c>
      <c r="M228" s="14" t="s">
        <v>37</v>
      </c>
      <c r="N228" s="14" t="s">
        <v>39</v>
      </c>
      <c r="O228" s="14" t="s">
        <v>41</v>
      </c>
      <c r="P228" s="14"/>
      <c r="Q228" s="14"/>
      <c r="R228" s="14"/>
      <c r="S228" s="15" t="str">
        <f aca="false">IF(N228="","",IF(N228=L228,"agree","DISAGREE"))</f>
        <v>agree</v>
      </c>
    </row>
    <row r="229" customFormat="false" ht="48.75" hidden="false" customHeight="true" outlineLevel="0" collapsed="false">
      <c r="A229" s="4" t="s">
        <v>762</v>
      </c>
      <c r="B229" s="4" t="s">
        <v>747</v>
      </c>
      <c r="C229" s="4" t="s">
        <v>686</v>
      </c>
      <c r="D229" s="4" t="s">
        <v>168</v>
      </c>
      <c r="E229" s="4" t="s">
        <v>168</v>
      </c>
      <c r="F229" s="4" t="s">
        <v>748</v>
      </c>
      <c r="G229" s="16" t="s">
        <v>763</v>
      </c>
      <c r="H229" s="17" t="s">
        <v>749</v>
      </c>
      <c r="I229" s="4" t="s">
        <v>170</v>
      </c>
      <c r="J229" s="4"/>
      <c r="K229" s="4"/>
      <c r="L229" s="4" t="s">
        <v>68</v>
      </c>
      <c r="M229" s="14" t="s">
        <v>37</v>
      </c>
      <c r="N229" s="14" t="s">
        <v>68</v>
      </c>
      <c r="O229" s="15" t="s">
        <v>69</v>
      </c>
      <c r="P229" s="14"/>
      <c r="Q229" s="14"/>
      <c r="R229" s="14"/>
      <c r="S229" s="15" t="str">
        <f aca="false">IF(N229="","",IF(N229=L229,"agree","DISAGREE"))</f>
        <v>agree</v>
      </c>
    </row>
    <row r="230" customFormat="false" ht="57" hidden="false" customHeight="true" outlineLevel="0" collapsed="false">
      <c r="A230" s="18" t="s">
        <v>764</v>
      </c>
      <c r="B230" s="18" t="s">
        <v>765</v>
      </c>
      <c r="C230" s="18" t="s">
        <v>686</v>
      </c>
      <c r="D230" s="18" t="s">
        <v>63</v>
      </c>
      <c r="E230" s="18" t="s">
        <v>64</v>
      </c>
      <c r="F230" s="18" t="s">
        <v>766</v>
      </c>
      <c r="G230" s="19" t="s">
        <v>767</v>
      </c>
      <c r="H230" s="20" t="s">
        <v>767</v>
      </c>
      <c r="I230" s="18" t="s">
        <v>67</v>
      </c>
      <c r="J230" s="18"/>
      <c r="K230" s="18"/>
      <c r="L230" s="18" t="s">
        <v>68</v>
      </c>
      <c r="M230" s="21" t="s">
        <v>37</v>
      </c>
      <c r="N230" s="21" t="s">
        <v>68</v>
      </c>
      <c r="O230" s="22" t="s">
        <v>69</v>
      </c>
      <c r="P230" s="21"/>
      <c r="Q230" s="21"/>
      <c r="R230" s="21"/>
      <c r="S230" s="22" t="str">
        <f aca="false">IF(N230="","",IF(N230=L230,"agree","DISAGREE"))</f>
        <v>agree</v>
      </c>
    </row>
    <row r="231" customFormat="false" ht="45.75" hidden="false" customHeight="true" outlineLevel="0" collapsed="false">
      <c r="A231" s="4" t="s">
        <v>768</v>
      </c>
      <c r="B231" s="4" t="s">
        <v>765</v>
      </c>
      <c r="C231" s="4" t="s">
        <v>686</v>
      </c>
      <c r="D231" s="4" t="s">
        <v>71</v>
      </c>
      <c r="E231" s="4" t="s">
        <v>64</v>
      </c>
      <c r="F231" s="4" t="s">
        <v>766</v>
      </c>
      <c r="G231" s="16" t="s">
        <v>769</v>
      </c>
      <c r="H231" s="17" t="s">
        <v>767</v>
      </c>
      <c r="I231" s="4" t="s">
        <v>73</v>
      </c>
      <c r="J231" s="4"/>
      <c r="K231" s="4"/>
      <c r="L231" s="4" t="s">
        <v>68</v>
      </c>
      <c r="M231" s="14" t="s">
        <v>37</v>
      </c>
      <c r="N231" s="14" t="s">
        <v>68</v>
      </c>
      <c r="O231" s="15" t="s">
        <v>69</v>
      </c>
      <c r="P231" s="14"/>
      <c r="Q231" s="14"/>
      <c r="R231" s="14"/>
      <c r="S231" s="15" t="str">
        <f aca="false">IF(N231="","",IF(N231=L231,"agree","DISAGREE"))</f>
        <v>agree</v>
      </c>
    </row>
    <row r="232" customFormat="false" ht="34.5" hidden="false" customHeight="true" outlineLevel="0" collapsed="false">
      <c r="A232" s="4" t="s">
        <v>770</v>
      </c>
      <c r="B232" s="4" t="s">
        <v>765</v>
      </c>
      <c r="C232" s="4" t="s">
        <v>686</v>
      </c>
      <c r="D232" s="4" t="s">
        <v>75</v>
      </c>
      <c r="E232" s="4" t="s">
        <v>64</v>
      </c>
      <c r="F232" s="4" t="s">
        <v>766</v>
      </c>
      <c r="G232" s="16" t="s">
        <v>771</v>
      </c>
      <c r="H232" s="17" t="s">
        <v>767</v>
      </c>
      <c r="I232" s="4" t="s">
        <v>77</v>
      </c>
      <c r="J232" s="4"/>
      <c r="K232" s="4"/>
      <c r="L232" s="4" t="s">
        <v>78</v>
      </c>
      <c r="M232" s="14" t="s">
        <v>37</v>
      </c>
      <c r="N232" s="14" t="s">
        <v>78</v>
      </c>
      <c r="O232" s="15" t="s">
        <v>69</v>
      </c>
      <c r="P232" s="14"/>
      <c r="Q232" s="14"/>
      <c r="R232" s="14"/>
      <c r="S232" s="15" t="str">
        <f aca="false">IF(N232="","",IF(N232=L232,"agree","DISAGREE"))</f>
        <v>agree</v>
      </c>
    </row>
    <row r="233" customFormat="false" ht="34.5" hidden="false" customHeight="true" outlineLevel="0" collapsed="false">
      <c r="A233" s="4" t="s">
        <v>772</v>
      </c>
      <c r="B233" s="4" t="s">
        <v>765</v>
      </c>
      <c r="C233" s="4" t="s">
        <v>686</v>
      </c>
      <c r="D233" s="4" t="s">
        <v>29</v>
      </c>
      <c r="E233" s="4" t="s">
        <v>64</v>
      </c>
      <c r="F233" s="4" t="s">
        <v>766</v>
      </c>
      <c r="G233" s="16" t="s">
        <v>773</v>
      </c>
      <c r="H233" s="17" t="s">
        <v>767</v>
      </c>
      <c r="I233" s="4" t="s">
        <v>81</v>
      </c>
      <c r="J233" s="17" t="s">
        <v>774</v>
      </c>
      <c r="K233" s="4" t="s">
        <v>775</v>
      </c>
      <c r="L233" s="4" t="s">
        <v>39</v>
      </c>
      <c r="M233" s="14" t="s">
        <v>37</v>
      </c>
      <c r="N233" s="14" t="s">
        <v>39</v>
      </c>
      <c r="O233" s="14" t="s">
        <v>41</v>
      </c>
      <c r="P233" s="14"/>
      <c r="Q233" s="14"/>
      <c r="R233" s="14"/>
      <c r="S233" s="15" t="str">
        <f aca="false">IF(N233="","",IF(N233=L233,"agree","DISAGREE"))</f>
        <v>agree</v>
      </c>
    </row>
    <row r="234" customFormat="false" ht="34.5" hidden="false" customHeight="true" outlineLevel="0" collapsed="false">
      <c r="A234" s="4" t="s">
        <v>776</v>
      </c>
      <c r="B234" s="4" t="s">
        <v>765</v>
      </c>
      <c r="C234" s="4" t="s">
        <v>686</v>
      </c>
      <c r="D234" s="4" t="s">
        <v>85</v>
      </c>
      <c r="E234" s="4" t="s">
        <v>64</v>
      </c>
      <c r="F234" s="4" t="s">
        <v>766</v>
      </c>
      <c r="G234" s="16" t="s">
        <v>777</v>
      </c>
      <c r="H234" s="17" t="s">
        <v>767</v>
      </c>
      <c r="I234" s="4" t="s">
        <v>87</v>
      </c>
      <c r="J234" s="17" t="s">
        <v>778</v>
      </c>
      <c r="K234" s="4" t="s">
        <v>779</v>
      </c>
      <c r="L234" s="4" t="s">
        <v>39</v>
      </c>
      <c r="M234" s="14" t="s">
        <v>37</v>
      </c>
      <c r="N234" s="14" t="s">
        <v>39</v>
      </c>
      <c r="O234" s="14" t="s">
        <v>41</v>
      </c>
      <c r="P234" s="14"/>
      <c r="Q234" s="14"/>
      <c r="R234" s="14"/>
      <c r="S234" s="15" t="str">
        <f aca="false">IF(N234="","",IF(N234=L234,"agree","DISAGREE"))</f>
        <v>agree</v>
      </c>
    </row>
    <row r="235" customFormat="false" ht="57" hidden="false" customHeight="true" outlineLevel="0" collapsed="false">
      <c r="A235" s="18" t="s">
        <v>780</v>
      </c>
      <c r="B235" s="18" t="s">
        <v>781</v>
      </c>
      <c r="C235" s="18" t="s">
        <v>782</v>
      </c>
      <c r="D235" s="18" t="s">
        <v>63</v>
      </c>
      <c r="E235" s="18" t="s">
        <v>64</v>
      </c>
      <c r="F235" s="18" t="s">
        <v>783</v>
      </c>
      <c r="G235" s="19" t="s">
        <v>784</v>
      </c>
      <c r="H235" s="20" t="s">
        <v>784</v>
      </c>
      <c r="I235" s="18" t="s">
        <v>67</v>
      </c>
      <c r="J235" s="18"/>
      <c r="K235" s="18"/>
      <c r="L235" s="18" t="s">
        <v>68</v>
      </c>
      <c r="M235" s="21" t="s">
        <v>37</v>
      </c>
      <c r="N235" s="21" t="s">
        <v>68</v>
      </c>
      <c r="O235" s="22" t="s">
        <v>69</v>
      </c>
      <c r="P235" s="21"/>
      <c r="Q235" s="21"/>
      <c r="R235" s="21"/>
      <c r="S235" s="22" t="str">
        <f aca="false">IF(N235="","",IF(N235=L235,"agree","DISAGREE"))</f>
        <v>agree</v>
      </c>
    </row>
    <row r="236" customFormat="false" ht="45.75" hidden="false" customHeight="true" outlineLevel="0" collapsed="false">
      <c r="A236" s="4" t="s">
        <v>785</v>
      </c>
      <c r="B236" s="4" t="s">
        <v>781</v>
      </c>
      <c r="C236" s="4" t="s">
        <v>782</v>
      </c>
      <c r="D236" s="4" t="s">
        <v>71</v>
      </c>
      <c r="E236" s="4" t="s">
        <v>64</v>
      </c>
      <c r="F236" s="4" t="s">
        <v>783</v>
      </c>
      <c r="G236" s="16" t="s">
        <v>786</v>
      </c>
      <c r="H236" s="17" t="s">
        <v>784</v>
      </c>
      <c r="I236" s="4" t="s">
        <v>73</v>
      </c>
      <c r="J236" s="4"/>
      <c r="K236" s="4"/>
      <c r="L236" s="4" t="s">
        <v>68</v>
      </c>
      <c r="M236" s="14" t="s">
        <v>37</v>
      </c>
      <c r="N236" s="14" t="s">
        <v>68</v>
      </c>
      <c r="O236" s="15" t="s">
        <v>69</v>
      </c>
      <c r="P236" s="14"/>
      <c r="Q236" s="14"/>
      <c r="R236" s="14"/>
      <c r="S236" s="15" t="str">
        <f aca="false">IF(N236="","",IF(N236=L236,"agree","DISAGREE"))</f>
        <v>agree</v>
      </c>
    </row>
    <row r="237" customFormat="false" ht="34.5" hidden="false" customHeight="true" outlineLevel="0" collapsed="false">
      <c r="A237" s="4" t="s">
        <v>787</v>
      </c>
      <c r="B237" s="4" t="s">
        <v>781</v>
      </c>
      <c r="C237" s="4" t="s">
        <v>782</v>
      </c>
      <c r="D237" s="4" t="s">
        <v>75</v>
      </c>
      <c r="E237" s="4" t="s">
        <v>64</v>
      </c>
      <c r="F237" s="4" t="s">
        <v>783</v>
      </c>
      <c r="G237" s="16" t="s">
        <v>788</v>
      </c>
      <c r="H237" s="17" t="s">
        <v>784</v>
      </c>
      <c r="I237" s="4" t="s">
        <v>77</v>
      </c>
      <c r="J237" s="4"/>
      <c r="K237" s="4"/>
      <c r="L237" s="4" t="s">
        <v>78</v>
      </c>
      <c r="M237" s="14" t="s">
        <v>37</v>
      </c>
      <c r="N237" s="14" t="s">
        <v>78</v>
      </c>
      <c r="O237" s="15" t="s">
        <v>69</v>
      </c>
      <c r="P237" s="14"/>
      <c r="Q237" s="14"/>
      <c r="R237" s="14"/>
      <c r="S237" s="15" t="str">
        <f aca="false">IF(N237="","",IF(N237=L237,"agree","DISAGREE"))</f>
        <v>agree</v>
      </c>
    </row>
    <row r="238" customFormat="false" ht="34.5" hidden="false" customHeight="true" outlineLevel="0" collapsed="false">
      <c r="A238" s="4" t="s">
        <v>789</v>
      </c>
      <c r="B238" s="4" t="s">
        <v>781</v>
      </c>
      <c r="C238" s="4" t="s">
        <v>782</v>
      </c>
      <c r="D238" s="4" t="s">
        <v>29</v>
      </c>
      <c r="E238" s="4" t="s">
        <v>64</v>
      </c>
      <c r="F238" s="4" t="s">
        <v>783</v>
      </c>
      <c r="G238" s="16" t="s">
        <v>790</v>
      </c>
      <c r="H238" s="17" t="s">
        <v>784</v>
      </c>
      <c r="I238" s="4" t="s">
        <v>81</v>
      </c>
      <c r="J238" s="17" t="s">
        <v>791</v>
      </c>
      <c r="K238" s="4" t="s">
        <v>792</v>
      </c>
      <c r="L238" s="4" t="s">
        <v>39</v>
      </c>
      <c r="M238" s="14" t="s">
        <v>37</v>
      </c>
      <c r="N238" s="14" t="s">
        <v>39</v>
      </c>
      <c r="O238" s="14" t="s">
        <v>41</v>
      </c>
      <c r="P238" s="14"/>
      <c r="Q238" s="14"/>
      <c r="R238" s="14"/>
      <c r="S238" s="15" t="str">
        <f aca="false">IF(N238="","",IF(N238=L238,"agree","DISAGREE"))</f>
        <v>agree</v>
      </c>
    </row>
    <row r="239" customFormat="false" ht="34.5" hidden="false" customHeight="true" outlineLevel="0" collapsed="false">
      <c r="A239" s="4" t="s">
        <v>793</v>
      </c>
      <c r="B239" s="4" t="s">
        <v>781</v>
      </c>
      <c r="C239" s="4" t="s">
        <v>782</v>
      </c>
      <c r="D239" s="4" t="s">
        <v>85</v>
      </c>
      <c r="E239" s="4" t="s">
        <v>64</v>
      </c>
      <c r="F239" s="4" t="s">
        <v>783</v>
      </c>
      <c r="G239" s="16" t="s">
        <v>794</v>
      </c>
      <c r="H239" s="17" t="s">
        <v>784</v>
      </c>
      <c r="I239" s="4" t="s">
        <v>87</v>
      </c>
      <c r="J239" s="17" t="s">
        <v>795</v>
      </c>
      <c r="K239" s="4" t="s">
        <v>796</v>
      </c>
      <c r="L239" s="4" t="s">
        <v>78</v>
      </c>
      <c r="M239" s="14" t="s">
        <v>37</v>
      </c>
      <c r="N239" s="14" t="s">
        <v>78</v>
      </c>
      <c r="O239" s="14" t="s">
        <v>797</v>
      </c>
      <c r="P239" s="14"/>
      <c r="Q239" s="14"/>
      <c r="R239" s="14"/>
      <c r="S239" s="15" t="str">
        <f aca="false">IF(N239="","",IF(N239=L239,"agree","DISAGREE"))</f>
        <v>agree</v>
      </c>
    </row>
    <row r="240" customFormat="false" ht="45.75" hidden="false" customHeight="true" outlineLevel="0" collapsed="false">
      <c r="A240" s="4" t="s">
        <v>798</v>
      </c>
      <c r="B240" s="4" t="s">
        <v>781</v>
      </c>
      <c r="C240" s="4" t="s">
        <v>782</v>
      </c>
      <c r="D240" s="4" t="s">
        <v>91</v>
      </c>
      <c r="E240" s="4" t="s">
        <v>64</v>
      </c>
      <c r="F240" s="4" t="s">
        <v>783</v>
      </c>
      <c r="G240" s="16" t="s">
        <v>799</v>
      </c>
      <c r="H240" s="17" t="s">
        <v>784</v>
      </c>
      <c r="I240" s="4" t="s">
        <v>800</v>
      </c>
      <c r="J240" s="4"/>
      <c r="K240" s="4"/>
      <c r="L240" s="4" t="s">
        <v>39</v>
      </c>
      <c r="M240" s="14" t="s">
        <v>37</v>
      </c>
      <c r="N240" s="14" t="s">
        <v>39</v>
      </c>
      <c r="O240" s="14" t="s">
        <v>69</v>
      </c>
      <c r="P240" s="23" t="s">
        <v>801</v>
      </c>
      <c r="Q240" s="23" t="s">
        <v>784</v>
      </c>
      <c r="R240" s="14"/>
      <c r="S240" s="15" t="str">
        <f aca="false">IF(N240="","",IF(N240=L240,"agree","DISAGREE"))</f>
        <v>agree</v>
      </c>
    </row>
    <row r="241" customFormat="false" ht="48.75" hidden="false" customHeight="true" outlineLevel="0" collapsed="false">
      <c r="A241" s="4" t="s">
        <v>802</v>
      </c>
      <c r="B241" s="4" t="s">
        <v>781</v>
      </c>
      <c r="C241" s="4" t="s">
        <v>782</v>
      </c>
      <c r="D241" s="4" t="s">
        <v>168</v>
      </c>
      <c r="E241" s="4" t="s">
        <v>168</v>
      </c>
      <c r="F241" s="4" t="s">
        <v>783</v>
      </c>
      <c r="G241" s="16" t="s">
        <v>803</v>
      </c>
      <c r="H241" s="17" t="s">
        <v>784</v>
      </c>
      <c r="I241" s="4" t="s">
        <v>170</v>
      </c>
      <c r="J241" s="4"/>
      <c r="K241" s="4"/>
      <c r="L241" s="4" t="s">
        <v>68</v>
      </c>
      <c r="M241" s="14" t="s">
        <v>37</v>
      </c>
      <c r="N241" s="14" t="s">
        <v>68</v>
      </c>
      <c r="O241" s="15" t="s">
        <v>69</v>
      </c>
      <c r="P241" s="14"/>
      <c r="Q241" s="14"/>
      <c r="R241" s="14"/>
      <c r="S241" s="15" t="str">
        <f aca="false">IF(N241="","",IF(N241=L241,"agree","DISAGREE"))</f>
        <v>agree</v>
      </c>
    </row>
    <row r="242" customFormat="false" ht="57" hidden="false" customHeight="true" outlineLevel="0" collapsed="false">
      <c r="A242" s="18" t="s">
        <v>804</v>
      </c>
      <c r="B242" s="18" t="s">
        <v>805</v>
      </c>
      <c r="C242" s="18" t="s">
        <v>782</v>
      </c>
      <c r="D242" s="18" t="s">
        <v>63</v>
      </c>
      <c r="E242" s="18" t="s">
        <v>64</v>
      </c>
      <c r="F242" s="18" t="s">
        <v>806</v>
      </c>
      <c r="G242" s="19" t="s">
        <v>807</v>
      </c>
      <c r="H242" s="20" t="s">
        <v>807</v>
      </c>
      <c r="I242" s="18" t="s">
        <v>67</v>
      </c>
      <c r="J242" s="18"/>
      <c r="K242" s="18"/>
      <c r="L242" s="18" t="s">
        <v>68</v>
      </c>
      <c r="M242" s="21" t="s">
        <v>37</v>
      </c>
      <c r="N242" s="21" t="s">
        <v>68</v>
      </c>
      <c r="O242" s="22" t="s">
        <v>69</v>
      </c>
      <c r="P242" s="21"/>
      <c r="Q242" s="21"/>
      <c r="R242" s="21"/>
      <c r="S242" s="22" t="str">
        <f aca="false">IF(N242="","",IF(N242=L242,"agree","DISAGREE"))</f>
        <v>agree</v>
      </c>
    </row>
    <row r="243" customFormat="false" ht="45.75" hidden="false" customHeight="true" outlineLevel="0" collapsed="false">
      <c r="A243" s="4" t="s">
        <v>808</v>
      </c>
      <c r="B243" s="4" t="s">
        <v>805</v>
      </c>
      <c r="C243" s="4" t="s">
        <v>782</v>
      </c>
      <c r="D243" s="4" t="s">
        <v>71</v>
      </c>
      <c r="E243" s="4" t="s">
        <v>64</v>
      </c>
      <c r="F243" s="4" t="s">
        <v>806</v>
      </c>
      <c r="G243" s="16" t="s">
        <v>809</v>
      </c>
      <c r="H243" s="17" t="s">
        <v>807</v>
      </c>
      <c r="I243" s="4" t="s">
        <v>73</v>
      </c>
      <c r="J243" s="4"/>
      <c r="K243" s="4"/>
      <c r="L243" s="4" t="s">
        <v>68</v>
      </c>
      <c r="M243" s="14" t="s">
        <v>37</v>
      </c>
      <c r="N243" s="14" t="s">
        <v>68</v>
      </c>
      <c r="O243" s="15" t="s">
        <v>69</v>
      </c>
      <c r="P243" s="14"/>
      <c r="Q243" s="14"/>
      <c r="R243" s="14"/>
      <c r="S243" s="15" t="str">
        <f aca="false">IF(N243="","",IF(N243=L243,"agree","DISAGREE"))</f>
        <v>agree</v>
      </c>
    </row>
    <row r="244" customFormat="false" ht="34.5" hidden="false" customHeight="true" outlineLevel="0" collapsed="false">
      <c r="A244" s="4" t="s">
        <v>810</v>
      </c>
      <c r="B244" s="4" t="s">
        <v>805</v>
      </c>
      <c r="C244" s="4" t="s">
        <v>782</v>
      </c>
      <c r="D244" s="4" t="s">
        <v>75</v>
      </c>
      <c r="E244" s="4" t="s">
        <v>64</v>
      </c>
      <c r="F244" s="4" t="s">
        <v>806</v>
      </c>
      <c r="G244" s="16" t="s">
        <v>811</v>
      </c>
      <c r="H244" s="17" t="s">
        <v>807</v>
      </c>
      <c r="I244" s="4" t="s">
        <v>77</v>
      </c>
      <c r="J244" s="4"/>
      <c r="K244" s="4"/>
      <c r="L244" s="4" t="s">
        <v>78</v>
      </c>
      <c r="M244" s="14" t="s">
        <v>37</v>
      </c>
      <c r="N244" s="14" t="s">
        <v>78</v>
      </c>
      <c r="O244" s="15" t="s">
        <v>69</v>
      </c>
      <c r="P244" s="14"/>
      <c r="Q244" s="14"/>
      <c r="R244" s="14"/>
      <c r="S244" s="15" t="str">
        <f aca="false">IF(N244="","",IF(N244=L244,"agree","DISAGREE"))</f>
        <v>agree</v>
      </c>
    </row>
    <row r="245" customFormat="false" ht="34.5" hidden="false" customHeight="true" outlineLevel="0" collapsed="false">
      <c r="A245" s="4" t="s">
        <v>812</v>
      </c>
      <c r="B245" s="4" t="s">
        <v>805</v>
      </c>
      <c r="C245" s="4" t="s">
        <v>782</v>
      </c>
      <c r="D245" s="4" t="s">
        <v>29</v>
      </c>
      <c r="E245" s="4" t="s">
        <v>64</v>
      </c>
      <c r="F245" s="4" t="s">
        <v>806</v>
      </c>
      <c r="G245" s="16" t="s">
        <v>813</v>
      </c>
      <c r="H245" s="17" t="s">
        <v>807</v>
      </c>
      <c r="I245" s="4" t="s">
        <v>81</v>
      </c>
      <c r="J245" s="17" t="s">
        <v>814</v>
      </c>
      <c r="K245" s="4" t="s">
        <v>815</v>
      </c>
      <c r="L245" s="4" t="s">
        <v>39</v>
      </c>
      <c r="M245" s="14" t="s">
        <v>37</v>
      </c>
      <c r="N245" s="14" t="s">
        <v>39</v>
      </c>
      <c r="O245" s="14" t="s">
        <v>41</v>
      </c>
      <c r="P245" s="14"/>
      <c r="Q245" s="14"/>
      <c r="R245" s="14"/>
      <c r="S245" s="15" t="str">
        <f aca="false">IF(N245="","",IF(N245=L245,"agree","DISAGREE"))</f>
        <v>agree</v>
      </c>
    </row>
    <row r="246" customFormat="false" ht="34.5" hidden="false" customHeight="true" outlineLevel="0" collapsed="false">
      <c r="A246" s="4" t="s">
        <v>816</v>
      </c>
      <c r="B246" s="4" t="s">
        <v>805</v>
      </c>
      <c r="C246" s="4" t="s">
        <v>782</v>
      </c>
      <c r="D246" s="4" t="s">
        <v>85</v>
      </c>
      <c r="E246" s="4" t="s">
        <v>64</v>
      </c>
      <c r="F246" s="4" t="s">
        <v>806</v>
      </c>
      <c r="G246" s="16" t="s">
        <v>817</v>
      </c>
      <c r="H246" s="17" t="s">
        <v>807</v>
      </c>
      <c r="I246" s="4" t="s">
        <v>87</v>
      </c>
      <c r="J246" s="17" t="s">
        <v>818</v>
      </c>
      <c r="K246" s="4" t="s">
        <v>819</v>
      </c>
      <c r="L246" s="4" t="s">
        <v>78</v>
      </c>
      <c r="M246" s="14" t="s">
        <v>37</v>
      </c>
      <c r="N246" s="14" t="s">
        <v>78</v>
      </c>
      <c r="O246" s="14" t="s">
        <v>797</v>
      </c>
      <c r="P246" s="14"/>
      <c r="Q246" s="14"/>
      <c r="R246" s="14"/>
      <c r="S246" s="15" t="str">
        <f aca="false">IF(N246="","",IF(N246=L246,"agree","DISAGREE"))</f>
        <v>agree</v>
      </c>
    </row>
    <row r="247" customFormat="false" ht="34.5" hidden="false" customHeight="true" outlineLevel="0" collapsed="false">
      <c r="A247" s="4" t="s">
        <v>820</v>
      </c>
      <c r="B247" s="4" t="s">
        <v>805</v>
      </c>
      <c r="C247" s="4" t="s">
        <v>782</v>
      </c>
      <c r="D247" s="4" t="s">
        <v>91</v>
      </c>
      <c r="E247" s="4" t="s">
        <v>64</v>
      </c>
      <c r="F247" s="4" t="s">
        <v>806</v>
      </c>
      <c r="G247" s="16" t="s">
        <v>821</v>
      </c>
      <c r="H247" s="17" t="s">
        <v>807</v>
      </c>
      <c r="I247" s="4" t="s">
        <v>93</v>
      </c>
      <c r="J247" s="4"/>
      <c r="K247" s="4"/>
      <c r="L247" s="4" t="s">
        <v>68</v>
      </c>
      <c r="M247" s="14" t="s">
        <v>37</v>
      </c>
      <c r="N247" s="14" t="s">
        <v>68</v>
      </c>
      <c r="O247" s="15" t="s">
        <v>69</v>
      </c>
      <c r="P247" s="14"/>
      <c r="Q247" s="14"/>
      <c r="R247" s="14"/>
      <c r="S247" s="15" t="str">
        <f aca="false">IF(N247="","",IF(N247=L247,"agree","DISAGREE"))</f>
        <v>agree</v>
      </c>
    </row>
    <row r="248" customFormat="false" ht="57" hidden="false" customHeight="true" outlineLevel="0" collapsed="false">
      <c r="A248" s="18" t="s">
        <v>822</v>
      </c>
      <c r="B248" s="18" t="s">
        <v>823</v>
      </c>
      <c r="C248" s="18" t="s">
        <v>782</v>
      </c>
      <c r="D248" s="18" t="s">
        <v>63</v>
      </c>
      <c r="E248" s="18" t="s">
        <v>64</v>
      </c>
      <c r="F248" s="18" t="s">
        <v>824</v>
      </c>
      <c r="G248" s="19" t="s">
        <v>825</v>
      </c>
      <c r="H248" s="20" t="s">
        <v>825</v>
      </c>
      <c r="I248" s="18" t="s">
        <v>67</v>
      </c>
      <c r="J248" s="18"/>
      <c r="K248" s="18"/>
      <c r="L248" s="18" t="s">
        <v>68</v>
      </c>
      <c r="M248" s="21" t="s">
        <v>826</v>
      </c>
      <c r="N248" s="21" t="s">
        <v>68</v>
      </c>
      <c r="O248" s="22" t="s">
        <v>69</v>
      </c>
      <c r="P248" s="21"/>
      <c r="Q248" s="25" t="s">
        <v>827</v>
      </c>
      <c r="R248" s="25" t="s">
        <v>828</v>
      </c>
      <c r="S248" s="22" t="str">
        <f aca="false">IF(N248="","",IF(N248=L248,"agree","DISAGREE"))</f>
        <v>agree</v>
      </c>
    </row>
    <row r="249" customFormat="false" ht="45.75" hidden="false" customHeight="true" outlineLevel="0" collapsed="false">
      <c r="A249" s="4" t="s">
        <v>829</v>
      </c>
      <c r="B249" s="4" t="s">
        <v>823</v>
      </c>
      <c r="C249" s="4" t="s">
        <v>782</v>
      </c>
      <c r="D249" s="4" t="s">
        <v>71</v>
      </c>
      <c r="E249" s="4" t="s">
        <v>64</v>
      </c>
      <c r="F249" s="4" t="s">
        <v>824</v>
      </c>
      <c r="G249" s="16" t="s">
        <v>830</v>
      </c>
      <c r="H249" s="17" t="s">
        <v>825</v>
      </c>
      <c r="I249" s="4" t="s">
        <v>73</v>
      </c>
      <c r="J249" s="4"/>
      <c r="K249" s="4"/>
      <c r="L249" s="4" t="s">
        <v>68</v>
      </c>
      <c r="M249" s="14" t="s">
        <v>37</v>
      </c>
      <c r="N249" s="14" t="s">
        <v>68</v>
      </c>
      <c r="O249" s="15" t="s">
        <v>69</v>
      </c>
      <c r="P249" s="14"/>
      <c r="Q249" s="14"/>
      <c r="R249" s="14"/>
      <c r="S249" s="15" t="str">
        <f aca="false">IF(N249="","",IF(N249=L249,"agree","DISAGREE"))</f>
        <v>agree</v>
      </c>
    </row>
    <row r="250" customFormat="false" ht="34.5" hidden="false" customHeight="true" outlineLevel="0" collapsed="false">
      <c r="A250" s="4" t="s">
        <v>831</v>
      </c>
      <c r="B250" s="4" t="s">
        <v>823</v>
      </c>
      <c r="C250" s="4" t="s">
        <v>782</v>
      </c>
      <c r="D250" s="4" t="s">
        <v>75</v>
      </c>
      <c r="E250" s="4" t="s">
        <v>64</v>
      </c>
      <c r="F250" s="4" t="s">
        <v>824</v>
      </c>
      <c r="G250" s="16" t="s">
        <v>832</v>
      </c>
      <c r="H250" s="17" t="s">
        <v>825</v>
      </c>
      <c r="I250" s="4" t="s">
        <v>77</v>
      </c>
      <c r="J250" s="4"/>
      <c r="K250" s="4"/>
      <c r="L250" s="4" t="s">
        <v>78</v>
      </c>
      <c r="M250" s="14" t="s">
        <v>37</v>
      </c>
      <c r="N250" s="14" t="s">
        <v>78</v>
      </c>
      <c r="O250" s="15" t="s">
        <v>69</v>
      </c>
      <c r="P250" s="14"/>
      <c r="Q250" s="14"/>
      <c r="R250" s="14"/>
      <c r="S250" s="15" t="str">
        <f aca="false">IF(N250="","",IF(N250=L250,"agree","DISAGREE"))</f>
        <v>agree</v>
      </c>
    </row>
    <row r="251" customFormat="false" ht="34.5" hidden="false" customHeight="true" outlineLevel="0" collapsed="false">
      <c r="A251" s="4" t="s">
        <v>833</v>
      </c>
      <c r="B251" s="4" t="s">
        <v>823</v>
      </c>
      <c r="C251" s="4" t="s">
        <v>782</v>
      </c>
      <c r="D251" s="4" t="s">
        <v>29</v>
      </c>
      <c r="E251" s="4" t="s">
        <v>64</v>
      </c>
      <c r="F251" s="4" t="s">
        <v>824</v>
      </c>
      <c r="G251" s="16" t="s">
        <v>834</v>
      </c>
      <c r="H251" s="17" t="s">
        <v>825</v>
      </c>
      <c r="I251" s="4" t="s">
        <v>81</v>
      </c>
      <c r="J251" s="17" t="s">
        <v>835</v>
      </c>
      <c r="K251" s="4" t="s">
        <v>836</v>
      </c>
      <c r="L251" s="4" t="s">
        <v>39</v>
      </c>
      <c r="M251" s="14" t="s">
        <v>37</v>
      </c>
      <c r="N251" s="14" t="s">
        <v>39</v>
      </c>
      <c r="O251" s="14" t="s">
        <v>41</v>
      </c>
      <c r="P251" s="14"/>
      <c r="Q251" s="14"/>
      <c r="R251" s="14"/>
      <c r="S251" s="15" t="str">
        <f aca="false">IF(N251="","",IF(N251=L251,"agree","DISAGREE"))</f>
        <v>agree</v>
      </c>
    </row>
    <row r="252" customFormat="false" ht="34.5" hidden="false" customHeight="true" outlineLevel="0" collapsed="false">
      <c r="A252" s="4" t="s">
        <v>837</v>
      </c>
      <c r="B252" s="4" t="s">
        <v>823</v>
      </c>
      <c r="C252" s="4" t="s">
        <v>782</v>
      </c>
      <c r="D252" s="4" t="s">
        <v>85</v>
      </c>
      <c r="E252" s="4" t="s">
        <v>64</v>
      </c>
      <c r="F252" s="4" t="s">
        <v>824</v>
      </c>
      <c r="G252" s="16" t="s">
        <v>838</v>
      </c>
      <c r="H252" s="17" t="s">
        <v>825</v>
      </c>
      <c r="I252" s="4" t="s">
        <v>87</v>
      </c>
      <c r="J252" s="17" t="s">
        <v>839</v>
      </c>
      <c r="K252" s="4" t="s">
        <v>840</v>
      </c>
      <c r="L252" s="4" t="s">
        <v>39</v>
      </c>
      <c r="M252" s="14" t="s">
        <v>37</v>
      </c>
      <c r="N252" s="14" t="s">
        <v>39</v>
      </c>
      <c r="O252" s="14" t="s">
        <v>41</v>
      </c>
      <c r="P252" s="14"/>
      <c r="Q252" s="14"/>
      <c r="R252" s="14"/>
      <c r="S252" s="15" t="str">
        <f aca="false">IF(N252="","",IF(N252=L252,"agree","DISAGREE"))</f>
        <v>agree</v>
      </c>
    </row>
    <row r="253" customFormat="false" ht="48.75" hidden="false" customHeight="true" outlineLevel="0" collapsed="false">
      <c r="A253" s="4" t="s">
        <v>841</v>
      </c>
      <c r="B253" s="4" t="s">
        <v>823</v>
      </c>
      <c r="C253" s="4" t="s">
        <v>782</v>
      </c>
      <c r="D253" s="4" t="s">
        <v>91</v>
      </c>
      <c r="E253" s="4" t="s">
        <v>64</v>
      </c>
      <c r="F253" s="4" t="s">
        <v>824</v>
      </c>
      <c r="G253" s="16" t="s">
        <v>842</v>
      </c>
      <c r="H253" s="17" t="s">
        <v>825</v>
      </c>
      <c r="I253" s="4" t="s">
        <v>843</v>
      </c>
      <c r="J253" s="4"/>
      <c r="K253" s="4"/>
      <c r="L253" s="4" t="s">
        <v>68</v>
      </c>
      <c r="M253" s="14" t="s">
        <v>37</v>
      </c>
      <c r="N253" s="14" t="s">
        <v>68</v>
      </c>
      <c r="O253" s="14" t="s">
        <v>69</v>
      </c>
      <c r="P253" s="14"/>
      <c r="Q253" s="14"/>
      <c r="R253" s="14"/>
      <c r="S253" s="15" t="str">
        <f aca="false">IF(N253="","",IF(N253=L253,"agree","DISAGREE"))</f>
        <v>agree</v>
      </c>
    </row>
    <row r="254" customFormat="false" ht="48.75" hidden="false" customHeight="true" outlineLevel="0" collapsed="false">
      <c r="A254" s="4" t="s">
        <v>844</v>
      </c>
      <c r="B254" s="4" t="s">
        <v>823</v>
      </c>
      <c r="C254" s="4" t="s">
        <v>782</v>
      </c>
      <c r="D254" s="4" t="s">
        <v>168</v>
      </c>
      <c r="E254" s="4" t="s">
        <v>168</v>
      </c>
      <c r="F254" s="4" t="s">
        <v>824</v>
      </c>
      <c r="G254" s="16" t="s">
        <v>845</v>
      </c>
      <c r="H254" s="17" t="s">
        <v>825</v>
      </c>
      <c r="I254" s="4" t="s">
        <v>170</v>
      </c>
      <c r="J254" s="4"/>
      <c r="K254" s="4"/>
      <c r="L254" s="4" t="s">
        <v>68</v>
      </c>
      <c r="M254" s="14" t="s">
        <v>37</v>
      </c>
      <c r="N254" s="14" t="s">
        <v>68</v>
      </c>
      <c r="O254" s="15" t="s">
        <v>69</v>
      </c>
      <c r="P254" s="14"/>
      <c r="Q254" s="14"/>
      <c r="R254" s="14"/>
      <c r="S254" s="15" t="str">
        <f aca="false">IF(N254="","",IF(N254=L254,"agree","DISAGREE"))</f>
        <v>agree</v>
      </c>
    </row>
    <row r="255" customFormat="false" ht="63" hidden="false" customHeight="true" outlineLevel="0" collapsed="false">
      <c r="A255" s="4" t="s">
        <v>846</v>
      </c>
      <c r="B255" s="4" t="s">
        <v>823</v>
      </c>
      <c r="C255" s="4" t="s">
        <v>782</v>
      </c>
      <c r="D255" s="4" t="s">
        <v>190</v>
      </c>
      <c r="E255" s="4" t="s">
        <v>190</v>
      </c>
      <c r="F255" s="4" t="s">
        <v>824</v>
      </c>
      <c r="G255" s="16" t="s">
        <v>847</v>
      </c>
      <c r="H255" s="17" t="s">
        <v>825</v>
      </c>
      <c r="I255" s="4" t="s">
        <v>192</v>
      </c>
      <c r="J255" s="4"/>
      <c r="K255" s="4"/>
      <c r="L255" s="4" t="s">
        <v>68</v>
      </c>
      <c r="M255" s="14" t="s">
        <v>37</v>
      </c>
      <c r="N255" s="14" t="s">
        <v>68</v>
      </c>
      <c r="O255" s="15" t="s">
        <v>69</v>
      </c>
      <c r="P255" s="14"/>
      <c r="Q255" s="14"/>
      <c r="R255" s="14"/>
      <c r="S255" s="15" t="str">
        <f aca="false">IF(N255="","",IF(N255=L255,"agree","DISAGREE"))</f>
        <v>agree</v>
      </c>
    </row>
    <row r="256" customFormat="false" ht="57" hidden="false" customHeight="true" outlineLevel="0" collapsed="false">
      <c r="A256" s="18" t="s">
        <v>848</v>
      </c>
      <c r="B256" s="18" t="s">
        <v>849</v>
      </c>
      <c r="C256" s="18" t="s">
        <v>782</v>
      </c>
      <c r="D256" s="18" t="s">
        <v>63</v>
      </c>
      <c r="E256" s="18" t="s">
        <v>64</v>
      </c>
      <c r="F256" s="18" t="s">
        <v>850</v>
      </c>
      <c r="G256" s="19" t="s">
        <v>851</v>
      </c>
      <c r="H256" s="20" t="s">
        <v>851</v>
      </c>
      <c r="I256" s="18" t="s">
        <v>67</v>
      </c>
      <c r="J256" s="18"/>
      <c r="K256" s="18"/>
      <c r="L256" s="18" t="s">
        <v>68</v>
      </c>
      <c r="M256" s="21" t="s">
        <v>37</v>
      </c>
      <c r="N256" s="21" t="s">
        <v>68</v>
      </c>
      <c r="O256" s="22" t="s">
        <v>69</v>
      </c>
      <c r="P256" s="21"/>
      <c r="Q256" s="21"/>
      <c r="R256" s="21"/>
      <c r="S256" s="22" t="str">
        <f aca="false">IF(N256="","",IF(N256=L256,"agree","DISAGREE"))</f>
        <v>agree</v>
      </c>
    </row>
    <row r="257" customFormat="false" ht="45.75" hidden="false" customHeight="true" outlineLevel="0" collapsed="false">
      <c r="A257" s="4" t="s">
        <v>852</v>
      </c>
      <c r="B257" s="4" t="s">
        <v>849</v>
      </c>
      <c r="C257" s="4" t="s">
        <v>782</v>
      </c>
      <c r="D257" s="4" t="s">
        <v>71</v>
      </c>
      <c r="E257" s="4" t="s">
        <v>64</v>
      </c>
      <c r="F257" s="4" t="s">
        <v>850</v>
      </c>
      <c r="G257" s="16" t="s">
        <v>853</v>
      </c>
      <c r="H257" s="17" t="s">
        <v>851</v>
      </c>
      <c r="I257" s="4" t="s">
        <v>73</v>
      </c>
      <c r="J257" s="4"/>
      <c r="K257" s="4"/>
      <c r="L257" s="4" t="s">
        <v>68</v>
      </c>
      <c r="M257" s="14" t="s">
        <v>37</v>
      </c>
      <c r="N257" s="14" t="s">
        <v>68</v>
      </c>
      <c r="O257" s="15" t="s">
        <v>69</v>
      </c>
      <c r="P257" s="14"/>
      <c r="Q257" s="14"/>
      <c r="R257" s="14"/>
      <c r="S257" s="15" t="str">
        <f aca="false">IF(N257="","",IF(N257=L257,"agree","DISAGREE"))</f>
        <v>agree</v>
      </c>
    </row>
    <row r="258" customFormat="false" ht="34.5" hidden="false" customHeight="true" outlineLevel="0" collapsed="false">
      <c r="A258" s="4" t="s">
        <v>854</v>
      </c>
      <c r="B258" s="4" t="s">
        <v>849</v>
      </c>
      <c r="C258" s="4" t="s">
        <v>782</v>
      </c>
      <c r="D258" s="4" t="s">
        <v>75</v>
      </c>
      <c r="E258" s="4" t="s">
        <v>64</v>
      </c>
      <c r="F258" s="4" t="s">
        <v>850</v>
      </c>
      <c r="G258" s="16" t="s">
        <v>855</v>
      </c>
      <c r="H258" s="17" t="s">
        <v>851</v>
      </c>
      <c r="I258" s="4" t="s">
        <v>77</v>
      </c>
      <c r="J258" s="4"/>
      <c r="K258" s="4"/>
      <c r="L258" s="4" t="s">
        <v>78</v>
      </c>
      <c r="M258" s="14" t="s">
        <v>37</v>
      </c>
      <c r="N258" s="14" t="s">
        <v>78</v>
      </c>
      <c r="O258" s="15" t="s">
        <v>69</v>
      </c>
      <c r="P258" s="14"/>
      <c r="Q258" s="14"/>
      <c r="R258" s="14"/>
      <c r="S258" s="15" t="str">
        <f aca="false">IF(N258="","",IF(N258=L258,"agree","DISAGREE"))</f>
        <v>agree</v>
      </c>
    </row>
    <row r="259" customFormat="false" ht="34.5" hidden="false" customHeight="true" outlineLevel="0" collapsed="false">
      <c r="A259" s="4" t="s">
        <v>856</v>
      </c>
      <c r="B259" s="4" t="s">
        <v>849</v>
      </c>
      <c r="C259" s="4" t="s">
        <v>782</v>
      </c>
      <c r="D259" s="4" t="s">
        <v>29</v>
      </c>
      <c r="E259" s="4" t="s">
        <v>64</v>
      </c>
      <c r="F259" s="4" t="s">
        <v>850</v>
      </c>
      <c r="G259" s="16" t="s">
        <v>857</v>
      </c>
      <c r="H259" s="17" t="s">
        <v>851</v>
      </c>
      <c r="I259" s="4" t="s">
        <v>81</v>
      </c>
      <c r="J259" s="17" t="s">
        <v>858</v>
      </c>
      <c r="K259" s="4" t="s">
        <v>859</v>
      </c>
      <c r="L259" s="4" t="s">
        <v>39</v>
      </c>
      <c r="M259" s="14" t="s">
        <v>37</v>
      </c>
      <c r="N259" s="14" t="s">
        <v>39</v>
      </c>
      <c r="O259" s="14" t="s">
        <v>41</v>
      </c>
      <c r="P259" s="14"/>
      <c r="Q259" s="14"/>
      <c r="R259" s="14"/>
      <c r="S259" s="15" t="str">
        <f aca="false">IF(N259="","",IF(N259=L259,"agree","DISAGREE"))</f>
        <v>agree</v>
      </c>
    </row>
    <row r="260" customFormat="false" ht="34.5" hidden="false" customHeight="true" outlineLevel="0" collapsed="false">
      <c r="A260" s="4" t="s">
        <v>860</v>
      </c>
      <c r="B260" s="4" t="s">
        <v>849</v>
      </c>
      <c r="C260" s="4" t="s">
        <v>782</v>
      </c>
      <c r="D260" s="4" t="s">
        <v>85</v>
      </c>
      <c r="E260" s="4" t="s">
        <v>64</v>
      </c>
      <c r="F260" s="4" t="s">
        <v>850</v>
      </c>
      <c r="G260" s="16" t="s">
        <v>861</v>
      </c>
      <c r="H260" s="17" t="s">
        <v>851</v>
      </c>
      <c r="I260" s="4" t="s">
        <v>87</v>
      </c>
      <c r="J260" s="17" t="s">
        <v>862</v>
      </c>
      <c r="K260" s="4" t="s">
        <v>863</v>
      </c>
      <c r="L260" s="4" t="s">
        <v>39</v>
      </c>
      <c r="M260" s="14" t="s">
        <v>37</v>
      </c>
      <c r="N260" s="14" t="s">
        <v>39</v>
      </c>
      <c r="O260" s="14" t="s">
        <v>41</v>
      </c>
      <c r="P260" s="14"/>
      <c r="Q260" s="14"/>
      <c r="R260" s="14"/>
      <c r="S260" s="15" t="str">
        <f aca="false">IF(N260="","",IF(N260=L260,"agree","DISAGREE"))</f>
        <v>agree</v>
      </c>
    </row>
    <row r="261" customFormat="false" ht="48.75" hidden="false" customHeight="true" outlineLevel="0" collapsed="false">
      <c r="A261" s="4" t="s">
        <v>864</v>
      </c>
      <c r="B261" s="4" t="s">
        <v>849</v>
      </c>
      <c r="C261" s="4" t="s">
        <v>782</v>
      </c>
      <c r="D261" s="4" t="s">
        <v>168</v>
      </c>
      <c r="E261" s="4" t="s">
        <v>168</v>
      </c>
      <c r="F261" s="4" t="s">
        <v>850</v>
      </c>
      <c r="G261" s="16" t="s">
        <v>865</v>
      </c>
      <c r="H261" s="17" t="s">
        <v>851</v>
      </c>
      <c r="I261" s="4" t="s">
        <v>170</v>
      </c>
      <c r="J261" s="4"/>
      <c r="K261" s="4"/>
      <c r="L261" s="4" t="s">
        <v>68</v>
      </c>
      <c r="M261" s="14" t="s">
        <v>37</v>
      </c>
      <c r="N261" s="14" t="s">
        <v>68</v>
      </c>
      <c r="O261" s="15" t="s">
        <v>69</v>
      </c>
      <c r="P261" s="14"/>
      <c r="Q261" s="14"/>
      <c r="R261" s="14"/>
      <c r="S261" s="15" t="str">
        <f aca="false">IF(N261="","",IF(N261=L261,"agree","DISAGREE"))</f>
        <v>agree</v>
      </c>
    </row>
    <row r="262" customFormat="false" ht="57" hidden="false" customHeight="true" outlineLevel="0" collapsed="false">
      <c r="A262" s="18" t="s">
        <v>866</v>
      </c>
      <c r="B262" s="18" t="s">
        <v>867</v>
      </c>
      <c r="C262" s="18" t="s">
        <v>782</v>
      </c>
      <c r="D262" s="18" t="s">
        <v>63</v>
      </c>
      <c r="E262" s="18" t="s">
        <v>64</v>
      </c>
      <c r="F262" s="18" t="s">
        <v>868</v>
      </c>
      <c r="G262" s="19" t="s">
        <v>869</v>
      </c>
      <c r="H262" s="20" t="s">
        <v>869</v>
      </c>
      <c r="I262" s="18" t="s">
        <v>67</v>
      </c>
      <c r="J262" s="18"/>
      <c r="K262" s="18"/>
      <c r="L262" s="18" t="s">
        <v>68</v>
      </c>
      <c r="M262" s="21" t="s">
        <v>37</v>
      </c>
      <c r="N262" s="21" t="s">
        <v>68</v>
      </c>
      <c r="O262" s="22" t="s">
        <v>69</v>
      </c>
      <c r="P262" s="21"/>
      <c r="Q262" s="21"/>
      <c r="R262" s="21"/>
      <c r="S262" s="22" t="str">
        <f aca="false">IF(N262="","",IF(N262=L262,"agree","DISAGREE"))</f>
        <v>agree</v>
      </c>
    </row>
    <row r="263" customFormat="false" ht="45.75" hidden="false" customHeight="true" outlineLevel="0" collapsed="false">
      <c r="A263" s="4" t="s">
        <v>870</v>
      </c>
      <c r="B263" s="4" t="s">
        <v>867</v>
      </c>
      <c r="C263" s="4" t="s">
        <v>782</v>
      </c>
      <c r="D263" s="4" t="s">
        <v>71</v>
      </c>
      <c r="E263" s="4" t="s">
        <v>64</v>
      </c>
      <c r="F263" s="4" t="s">
        <v>868</v>
      </c>
      <c r="G263" s="16" t="s">
        <v>871</v>
      </c>
      <c r="H263" s="17" t="s">
        <v>869</v>
      </c>
      <c r="I263" s="4" t="s">
        <v>73</v>
      </c>
      <c r="J263" s="4"/>
      <c r="K263" s="4"/>
      <c r="L263" s="4" t="s">
        <v>68</v>
      </c>
      <c r="M263" s="14" t="s">
        <v>37</v>
      </c>
      <c r="N263" s="14" t="s">
        <v>68</v>
      </c>
      <c r="O263" s="15" t="s">
        <v>69</v>
      </c>
      <c r="P263" s="14"/>
      <c r="Q263" s="14"/>
      <c r="R263" s="14"/>
      <c r="S263" s="15" t="str">
        <f aca="false">IF(N263="","",IF(N263=L263,"agree","DISAGREE"))</f>
        <v>agree</v>
      </c>
    </row>
    <row r="264" customFormat="false" ht="34.5" hidden="false" customHeight="true" outlineLevel="0" collapsed="false">
      <c r="A264" s="4" t="s">
        <v>872</v>
      </c>
      <c r="B264" s="4" t="s">
        <v>867</v>
      </c>
      <c r="C264" s="4" t="s">
        <v>782</v>
      </c>
      <c r="D264" s="4" t="s">
        <v>75</v>
      </c>
      <c r="E264" s="4" t="s">
        <v>64</v>
      </c>
      <c r="F264" s="4" t="s">
        <v>868</v>
      </c>
      <c r="G264" s="16" t="s">
        <v>873</v>
      </c>
      <c r="H264" s="17" t="s">
        <v>869</v>
      </c>
      <c r="I264" s="4" t="s">
        <v>77</v>
      </c>
      <c r="J264" s="4"/>
      <c r="K264" s="4"/>
      <c r="L264" s="4" t="s">
        <v>78</v>
      </c>
      <c r="M264" s="14" t="s">
        <v>37</v>
      </c>
      <c r="N264" s="14" t="s">
        <v>78</v>
      </c>
      <c r="O264" s="15" t="s">
        <v>69</v>
      </c>
      <c r="P264" s="14"/>
      <c r="Q264" s="14"/>
      <c r="R264" s="14"/>
      <c r="S264" s="15" t="str">
        <f aca="false">IF(N264="","",IF(N264=L264,"agree","DISAGREE"))</f>
        <v>agree</v>
      </c>
    </row>
    <row r="265" customFormat="false" ht="34.5" hidden="false" customHeight="true" outlineLevel="0" collapsed="false">
      <c r="A265" s="4" t="s">
        <v>874</v>
      </c>
      <c r="B265" s="4" t="s">
        <v>867</v>
      </c>
      <c r="C265" s="4" t="s">
        <v>782</v>
      </c>
      <c r="D265" s="4" t="s">
        <v>29</v>
      </c>
      <c r="E265" s="4" t="s">
        <v>64</v>
      </c>
      <c r="F265" s="4" t="s">
        <v>868</v>
      </c>
      <c r="G265" s="16" t="s">
        <v>875</v>
      </c>
      <c r="H265" s="17" t="s">
        <v>869</v>
      </c>
      <c r="I265" s="4" t="s">
        <v>81</v>
      </c>
      <c r="J265" s="17" t="s">
        <v>876</v>
      </c>
      <c r="K265" s="4" t="s">
        <v>877</v>
      </c>
      <c r="L265" s="4" t="s">
        <v>39</v>
      </c>
      <c r="M265" s="14" t="s">
        <v>37</v>
      </c>
      <c r="N265" s="14" t="s">
        <v>39</v>
      </c>
      <c r="O265" s="14" t="s">
        <v>41</v>
      </c>
      <c r="P265" s="14"/>
      <c r="Q265" s="14"/>
      <c r="R265" s="14"/>
      <c r="S265" s="15" t="str">
        <f aca="false">IF(N265="","",IF(N265=L265,"agree","DISAGREE"))</f>
        <v>agree</v>
      </c>
    </row>
    <row r="266" customFormat="false" ht="34.5" hidden="false" customHeight="true" outlineLevel="0" collapsed="false">
      <c r="A266" s="4" t="s">
        <v>878</v>
      </c>
      <c r="B266" s="4" t="s">
        <v>867</v>
      </c>
      <c r="C266" s="4" t="s">
        <v>782</v>
      </c>
      <c r="D266" s="4" t="s">
        <v>85</v>
      </c>
      <c r="E266" s="4" t="s">
        <v>64</v>
      </c>
      <c r="F266" s="4" t="s">
        <v>868</v>
      </c>
      <c r="G266" s="16" t="s">
        <v>879</v>
      </c>
      <c r="H266" s="17" t="s">
        <v>869</v>
      </c>
      <c r="I266" s="4" t="s">
        <v>87</v>
      </c>
      <c r="J266" s="17" t="s">
        <v>880</v>
      </c>
      <c r="K266" s="4" t="s">
        <v>881</v>
      </c>
      <c r="L266" s="4" t="s">
        <v>78</v>
      </c>
      <c r="M266" s="14" t="s">
        <v>37</v>
      </c>
      <c r="N266" s="14" t="s">
        <v>78</v>
      </c>
      <c r="O266" s="14" t="s">
        <v>797</v>
      </c>
      <c r="P266" s="14"/>
      <c r="Q266" s="14"/>
      <c r="R266" s="14"/>
      <c r="S266" s="15" t="str">
        <f aca="false">IF(N266="","",IF(N266=L266,"agree","DISAGREE"))</f>
        <v>agree</v>
      </c>
    </row>
  </sheetData>
  <autoFilter ref="A1:S266"/>
  <conditionalFormatting sqref="S2:S266">
    <cfRule type="expression" priority="2" aboveAverage="0" equalAverage="0" bottom="0" percent="0" rank="0" text="" dxfId="6">
      <formula>S2="DISAGREE"</formula>
    </cfRule>
  </conditionalFormatting>
  <dataValidations count="3">
    <dataValidation allowBlank="true" error="Please pick a value from the dropdown list." errorStyle="stop" operator="between" showDropDown="false" showErrorMessage="true" showInputMessage="false" sqref="M2:M266" type="list">
      <formula1>"Yes,No,Partly,Not sure"</formula1>
      <formula2>0</formula2>
    </dataValidation>
    <dataValidation allowBlank="true" error="Please pick a value from the dropdown list." errorStyle="stop" operator="between" showDropDown="false" showErrorMessage="true" showInputMessage="false" sqref="N2:N266" type="list">
      <formula1>"clean,moderate,poor"</formula1>
      <formula2>0</formula2>
    </dataValidation>
    <dataValidation allowBlank="true" error="Please pick a value from the dropdown list." errorStyle="stop" operator="between" showDropDown="false" showErrorMessage="true" showInputMessage="false" sqref="O2:O266" type="list">
      <formula1>"minor,major,critical,not an error,n/a"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5" min="2" style="1" width="16"/>
  </cols>
  <sheetData>
    <row r="1" customFormat="false" ht="15" hidden="false" customHeight="true" outlineLevel="0" collapsed="false">
      <c r="A1" s="26" t="s">
        <v>882</v>
      </c>
    </row>
    <row r="3" customFormat="false" ht="23.25" hidden="false" customHeight="true" outlineLevel="0" collapsed="false">
      <c r="A3" s="10" t="s">
        <v>28</v>
      </c>
      <c r="B3" s="10" t="s">
        <v>883</v>
      </c>
      <c r="C3" s="10" t="s">
        <v>884</v>
      </c>
      <c r="D3" s="10" t="s">
        <v>885</v>
      </c>
      <c r="E3" s="10" t="s">
        <v>886</v>
      </c>
    </row>
    <row r="4" customFormat="false" ht="15" hidden="false" customHeight="true" outlineLevel="0" collapsed="false">
      <c r="A4" s="27" t="s">
        <v>63</v>
      </c>
      <c r="B4" s="27" t="n">
        <f aca="false">COUNTIF(Review!$D$2:$D$266,A4)</f>
        <v>40</v>
      </c>
      <c r="C4" s="27" t="n">
        <f aca="false">COUNTIFS(Review!$D$2:$D$266,A4,Review!$N$2:$N$266,"&lt;&gt;")</f>
        <v>40</v>
      </c>
      <c r="D4" s="27" t="n">
        <f aca="false">COUNTIFS(Review!$D$2:$D$266,A4,Review!$S$2:$S$266,"agree")</f>
        <v>40</v>
      </c>
      <c r="E4" s="28" t="n">
        <f aca="false">IF(C4=0,"-",D4/C4)</f>
        <v>1</v>
      </c>
    </row>
    <row r="5" customFormat="false" ht="15" hidden="false" customHeight="true" outlineLevel="0" collapsed="false">
      <c r="A5" s="27" t="s">
        <v>71</v>
      </c>
      <c r="B5" s="27" t="n">
        <f aca="false">COUNTIF(Review!$D$2:$D$266,A5)</f>
        <v>40</v>
      </c>
      <c r="C5" s="27" t="n">
        <f aca="false">COUNTIFS(Review!$D$2:$D$266,A5,Review!$N$2:$N$266,"&lt;&gt;")</f>
        <v>40</v>
      </c>
      <c r="D5" s="27" t="n">
        <f aca="false">COUNTIFS(Review!$D$2:$D$266,A5,Review!$S$2:$S$266,"agree")</f>
        <v>40</v>
      </c>
      <c r="E5" s="28" t="n">
        <f aca="false">IF(C5=0,"-",D5/C5)</f>
        <v>1</v>
      </c>
    </row>
    <row r="6" customFormat="false" ht="15" hidden="false" customHeight="true" outlineLevel="0" collapsed="false">
      <c r="A6" s="27" t="s">
        <v>75</v>
      </c>
      <c r="B6" s="27" t="n">
        <f aca="false">COUNTIF(Review!$D$2:$D$266,A6)</f>
        <v>40</v>
      </c>
      <c r="C6" s="27" t="n">
        <f aca="false">COUNTIFS(Review!$D$2:$D$266,A6,Review!$N$2:$N$266,"&lt;&gt;")</f>
        <v>40</v>
      </c>
      <c r="D6" s="27" t="n">
        <f aca="false">COUNTIFS(Review!$D$2:$D$266,A6,Review!$S$2:$S$266,"agree")</f>
        <v>40</v>
      </c>
      <c r="E6" s="28" t="n">
        <f aca="false">IF(C6=0,"-",D6/C6)</f>
        <v>1</v>
      </c>
    </row>
    <row r="7" customFormat="false" ht="15" hidden="false" customHeight="true" outlineLevel="0" collapsed="false">
      <c r="A7" s="27" t="s">
        <v>138</v>
      </c>
      <c r="B7" s="27" t="n">
        <f aca="false">COUNTIF(Review!$D$2:$D$266,A7)</f>
        <v>5</v>
      </c>
      <c r="C7" s="27" t="n">
        <f aca="false">COUNTIFS(Review!$D$2:$D$266,A7,Review!$N$2:$N$266,"&lt;&gt;")</f>
        <v>5</v>
      </c>
      <c r="D7" s="27" t="n">
        <f aca="false">COUNTIFS(Review!$D$2:$D$266,A7,Review!$S$2:$S$266,"agree")</f>
        <v>5</v>
      </c>
      <c r="E7" s="28" t="n">
        <f aca="false">IF(C7=0,"-",D7/C7)</f>
        <v>1</v>
      </c>
    </row>
    <row r="8" customFormat="false" ht="15" hidden="false" customHeight="true" outlineLevel="0" collapsed="false">
      <c r="A8" s="27" t="s">
        <v>29</v>
      </c>
      <c r="B8" s="27" t="n">
        <f aca="false">COUNTIF(Review!$D$2:$D$266,A8)</f>
        <v>40</v>
      </c>
      <c r="C8" s="27" t="n">
        <f aca="false">COUNTIFS(Review!$D$2:$D$266,A8,Review!$N$2:$N$266,"&lt;&gt;")</f>
        <v>40</v>
      </c>
      <c r="D8" s="27" t="n">
        <f aca="false">COUNTIFS(Review!$D$2:$D$266,A8,Review!$S$2:$S$266,"agree")</f>
        <v>40</v>
      </c>
      <c r="E8" s="28" t="n">
        <f aca="false">IF(C8=0,"-",D8/C8)</f>
        <v>1</v>
      </c>
    </row>
    <row r="9" customFormat="false" ht="15" hidden="false" customHeight="true" outlineLevel="0" collapsed="false">
      <c r="A9" s="27" t="s">
        <v>85</v>
      </c>
      <c r="B9" s="27" t="n">
        <f aca="false">COUNTIF(Review!$D$2:$D$266,A9)</f>
        <v>40</v>
      </c>
      <c r="C9" s="27" t="n">
        <f aca="false">COUNTIFS(Review!$D$2:$D$266,A9,Review!$N$2:$N$266,"&lt;&gt;")</f>
        <v>40</v>
      </c>
      <c r="D9" s="27" t="n">
        <f aca="false">COUNTIFS(Review!$D$2:$D$266,A9,Review!$S$2:$S$266,"agree")</f>
        <v>40</v>
      </c>
      <c r="E9" s="28" t="n">
        <f aca="false">IF(C9=0,"-",D9/C9)</f>
        <v>1</v>
      </c>
    </row>
    <row r="10" customFormat="false" ht="15" hidden="false" customHeight="true" outlineLevel="0" collapsed="false">
      <c r="A10" s="27" t="s">
        <v>91</v>
      </c>
      <c r="B10" s="27" t="n">
        <f aca="false">COUNTIF(Review!$D$2:$D$266,A10)</f>
        <v>16</v>
      </c>
      <c r="C10" s="27" t="n">
        <f aca="false">COUNTIFS(Review!$D$2:$D$266,A10,Review!$N$2:$N$266,"&lt;&gt;")</f>
        <v>16</v>
      </c>
      <c r="D10" s="27" t="n">
        <f aca="false">COUNTIFS(Review!$D$2:$D$266,A10,Review!$S$2:$S$266,"agree")</f>
        <v>16</v>
      </c>
      <c r="E10" s="28" t="n">
        <f aca="false">IF(C10=0,"-",D10/C10)</f>
        <v>1</v>
      </c>
    </row>
    <row r="11" customFormat="false" ht="15" hidden="false" customHeight="true" outlineLevel="0" collapsed="false">
      <c r="A11" s="27" t="s">
        <v>168</v>
      </c>
      <c r="B11" s="27" t="n">
        <f aca="false">COUNTIF(Review!$D$2:$D$266,A11)</f>
        <v>30</v>
      </c>
      <c r="C11" s="27" t="n">
        <f aca="false">COUNTIFS(Review!$D$2:$D$266,A11,Review!$N$2:$N$266,"&lt;&gt;")</f>
        <v>30</v>
      </c>
      <c r="D11" s="27" t="n">
        <f aca="false">COUNTIFS(Review!$D$2:$D$266,A11,Review!$S$2:$S$266,"agree")</f>
        <v>30</v>
      </c>
      <c r="E11" s="28" t="n">
        <f aca="false">IF(C11=0,"-",D11/C11)</f>
        <v>1</v>
      </c>
    </row>
    <row r="12" customFormat="false" ht="15" hidden="false" customHeight="true" outlineLevel="0" collapsed="false">
      <c r="A12" s="27" t="s">
        <v>190</v>
      </c>
      <c r="B12" s="27" t="n">
        <f aca="false">COUNTIF(Review!$D$2:$D$266,A12)</f>
        <v>14</v>
      </c>
      <c r="C12" s="27" t="n">
        <f aca="false">COUNTIFS(Review!$D$2:$D$266,A12,Review!$N$2:$N$266,"&lt;&gt;")</f>
        <v>14</v>
      </c>
      <c r="D12" s="27" t="n">
        <f aca="false">COUNTIFS(Review!$D$2:$D$266,A12,Review!$S$2:$S$266,"agree")</f>
        <v>14</v>
      </c>
      <c r="E12" s="28" t="n">
        <f aca="false">IF(C12=0,"-",D12/C12)</f>
        <v>1</v>
      </c>
    </row>
    <row r="13" customFormat="false" ht="15" hidden="false" customHeight="true" outlineLevel="0" collapsed="false">
      <c r="A13" s="29" t="s">
        <v>887</v>
      </c>
      <c r="B13" s="29" t="n">
        <f aca="false">SUM(B4:B12)</f>
        <v>265</v>
      </c>
      <c r="C13" s="29" t="n">
        <f aca="false">SUM(C4:C12)</f>
        <v>265</v>
      </c>
      <c r="D13" s="29" t="n">
        <f aca="false">SUM(D4:D12)</f>
        <v>265</v>
      </c>
      <c r="E13" s="30" t="n">
        <f aca="false">IF(C13=0,"-",D13/C13)</f>
        <v>1</v>
      </c>
    </row>
    <row r="15" customFormat="false" ht="15" hidden="false" customHeight="true" outlineLevel="0" collapsed="false">
      <c r="A15" s="31" t="s">
        <v>888</v>
      </c>
      <c r="B15" s="32" t="n">
        <f aca="false">COUNTIF(Review!$M$2:$M$266,"No")+COUNTIF(Review!$M$2:$M$266,"Partly")</f>
        <v>1</v>
      </c>
    </row>
    <row r="16" customFormat="false" ht="15" hidden="false" customHeight="true" outlineLevel="0" collapsed="false">
      <c r="A16" s="31" t="s">
        <v>889</v>
      </c>
      <c r="B16" s="32" t="n">
        <f aca="false">COUNTIF(Review!$Q$2:$Q$266,"?*")</f>
        <v>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2026-09-29T20:21:51Z</dcterms:created>
  <dc:creator>openpyxl</dc:creator>
  <dc:description/>
  <dc:language>en-US</dc:language>
  <cp:lastModifiedBy/>
  <dcterms:modified xsi:type="dcterms:W3CDTF">2026-09-29T20:40:19Z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